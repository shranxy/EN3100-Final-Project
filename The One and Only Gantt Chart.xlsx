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13_ncr:1_{25557548-DB8C-4A22-B123-3CD969ECF95A}"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Critical Path Calculation Table" sheetId="13" r:id="rId2"/>
  </sheets>
  <definedNames>
    <definedName name="Display_Week">ProjectSchedule!$D$1</definedName>
    <definedName name="_xlnm.Print_Titles" localSheetId="0">ProjectSchedule!$1:$3</definedName>
    <definedName name="Project_Start">ProjectSchedule!#REF!</definedName>
    <definedName name="task_end" localSheetId="0">ProjectSchedule!#REF!</definedName>
    <definedName name="task_progress" localSheetId="0">ProjectSchedule!$C1</definedName>
    <definedName name="task_start" localSheetId="0">ProjectSchedule!$D1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3" l="1"/>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2" i="13"/>
  <c r="HK2" i="11"/>
  <c r="HL2" i="11" s="1"/>
  <c r="HM2" i="11" s="1"/>
  <c r="HP2" i="11" s="1"/>
  <c r="HQ2" i="11" s="1"/>
  <c r="HR2" i="11" s="1"/>
  <c r="HS2" i="11" s="1"/>
  <c r="HT2" i="11" s="1"/>
  <c r="HU2" i="11" s="1"/>
  <c r="HV2" i="11" s="1"/>
  <c r="HW2" i="11" s="1"/>
  <c r="HX2" i="11" s="1"/>
  <c r="H45" i="11"/>
  <c r="H46" i="11"/>
  <c r="H47" i="11"/>
  <c r="H48" i="11"/>
  <c r="H49" i="11"/>
  <c r="H50" i="11"/>
  <c r="H51" i="11"/>
  <c r="H52" i="11"/>
  <c r="H41" i="11"/>
  <c r="H42" i="11"/>
  <c r="H43" i="11"/>
  <c r="H44" i="11"/>
  <c r="FV2" i="11"/>
  <c r="FW2" i="11" s="1"/>
  <c r="FX2" i="11" s="1"/>
  <c r="FY2" i="11" s="1"/>
  <c r="FZ2" i="11" s="1"/>
  <c r="GA2" i="11" s="1"/>
  <c r="DR2" i="11"/>
  <c r="DS2" i="11" s="1"/>
  <c r="DT2" i="11" s="1"/>
  <c r="DU2" i="11" s="1"/>
  <c r="DV2" i="11" s="1"/>
  <c r="DW2" i="11" s="1"/>
  <c r="BN2" i="11"/>
  <c r="BO2" i="11" s="1"/>
  <c r="BP2" i="11" s="1"/>
  <c r="BQ2" i="11" s="1"/>
  <c r="BR2" i="11" s="1"/>
  <c r="BS2" i="11" s="1"/>
  <c r="H36" i="11"/>
  <c r="H37" i="11"/>
  <c r="H38" i="11"/>
  <c r="H39" i="11"/>
  <c r="H40" i="11"/>
  <c r="H31" i="11"/>
  <c r="H32" i="11"/>
  <c r="H33" i="11"/>
  <c r="H34" i="11"/>
  <c r="H35" i="11"/>
  <c r="H30" i="11"/>
  <c r="H29" i="11"/>
  <c r="H25" i="11"/>
  <c r="H26" i="11"/>
  <c r="H27" i="11"/>
  <c r="H28" i="11"/>
  <c r="H4" i="11"/>
  <c r="H17" i="11" l="1"/>
  <c r="GB2" i="11"/>
  <c r="GC2" i="11" s="1"/>
  <c r="GD2" i="11" s="1"/>
  <c r="GE2" i="11" s="1"/>
  <c r="GF2" i="11" s="1"/>
  <c r="GG2" i="11" s="1"/>
  <c r="GH2" i="11" s="1"/>
  <c r="DX2" i="11"/>
  <c r="DY2" i="11" s="1"/>
  <c r="DZ2" i="11" s="1"/>
  <c r="EA2" i="11" s="1"/>
  <c r="EB2" i="11" s="1"/>
  <c r="EC2" i="11" s="1"/>
  <c r="ED2" i="11" s="1"/>
  <c r="BU2" i="11"/>
  <c r="BV2" i="11" s="1"/>
  <c r="BW2" i="11" s="1"/>
  <c r="BX2" i="11" s="1"/>
  <c r="BY2" i="11" s="1"/>
  <c r="BZ2" i="11" s="1"/>
  <c r="H24" i="11"/>
  <c r="H23" i="11"/>
  <c r="H21" i="11"/>
  <c r="H15" i="11"/>
  <c r="H10" i="11"/>
  <c r="H5" i="11"/>
  <c r="H18" i="11" l="1"/>
  <c r="H19" i="11"/>
  <c r="H16" i="11"/>
  <c r="GI2" i="11"/>
  <c r="GJ2" i="11" s="1"/>
  <c r="GK2" i="11" s="1"/>
  <c r="GL2" i="11" s="1"/>
  <c r="GM2" i="11" s="1"/>
  <c r="GN2" i="11" s="1"/>
  <c r="GO2" i="11" s="1"/>
  <c r="EE2" i="11"/>
  <c r="EF2" i="11" s="1"/>
  <c r="EG2" i="11" s="1"/>
  <c r="EH2" i="11" s="1"/>
  <c r="EI2" i="11" s="1"/>
  <c r="EJ2" i="11" s="1"/>
  <c r="EK2" i="11" s="1"/>
  <c r="CA2" i="11"/>
  <c r="CB2" i="11" s="1"/>
  <c r="CC2" i="11" s="1"/>
  <c r="CD2" i="11" s="1"/>
  <c r="CE2" i="11" s="1"/>
  <c r="CF2" i="11" s="1"/>
  <c r="CG2" i="11" s="1"/>
  <c r="H6" i="11"/>
  <c r="GP2" i="11" l="1"/>
  <c r="GQ2" i="11" s="1"/>
  <c r="GR2" i="11" s="1"/>
  <c r="GS2" i="11" s="1"/>
  <c r="GT2" i="11" s="1"/>
  <c r="GU2" i="11" s="1"/>
  <c r="GV2" i="11" s="1"/>
  <c r="EL2" i="11"/>
  <c r="EM2" i="11" s="1"/>
  <c r="EN2" i="11" s="1"/>
  <c r="EO2" i="11" s="1"/>
  <c r="EP2" i="11" s="1"/>
  <c r="EQ2" i="11" s="1"/>
  <c r="ER2" i="11" s="1"/>
  <c r="CH2" i="11"/>
  <c r="CI2" i="11" s="1"/>
  <c r="CJ2" i="11" s="1"/>
  <c r="CK2" i="11" s="1"/>
  <c r="CL2" i="11" s="1"/>
  <c r="CM2" i="11" s="1"/>
  <c r="CN2" i="11" s="1"/>
  <c r="H22" i="11"/>
  <c r="H7" i="11"/>
  <c r="H11" i="11"/>
  <c r="J2" i="11"/>
  <c r="L2" i="11" s="1"/>
  <c r="M2" i="11" s="1"/>
  <c r="N2" i="11" s="1"/>
  <c r="O2" i="11" s="1"/>
  <c r="P2" i="11" s="1"/>
  <c r="GW2" i="11" l="1"/>
  <c r="GX2" i="11" s="1"/>
  <c r="GY2" i="11" s="1"/>
  <c r="GZ2" i="11" s="1"/>
  <c r="HA2" i="11" s="1"/>
  <c r="HB2" i="11" s="1"/>
  <c r="HC2" i="11" s="1"/>
  <c r="ES2" i="11"/>
  <c r="ET2" i="11" s="1"/>
  <c r="EU2" i="11" s="1"/>
  <c r="EV2" i="11" s="1"/>
  <c r="EW2" i="11" s="1"/>
  <c r="EX2" i="11" s="1"/>
  <c r="EY2" i="11" s="1"/>
  <c r="CO2" i="11"/>
  <c r="CP2" i="11" s="1"/>
  <c r="CQ2" i="11" s="1"/>
  <c r="CR2" i="11" s="1"/>
  <c r="CS2" i="11" s="1"/>
  <c r="CT2" i="11" s="1"/>
  <c r="CU2" i="11" s="1"/>
  <c r="H20" i="11"/>
  <c r="H12" i="11"/>
  <c r="H8" i="11"/>
  <c r="H9" i="11"/>
  <c r="Q2" i="11"/>
  <c r="R2" i="11" s="1"/>
  <c r="S2" i="11" s="1"/>
  <c r="T2" i="11" s="1"/>
  <c r="U2" i="11" s="1"/>
  <c r="V2" i="11" s="1"/>
  <c r="HD2" i="11" l="1"/>
  <c r="HE2" i="11" s="1"/>
  <c r="HF2" i="11" s="1"/>
  <c r="HG2" i="11" s="1"/>
  <c r="HH2" i="11" s="1"/>
  <c r="HI2" i="11" s="1"/>
  <c r="HJ2" i="11" s="1"/>
  <c r="W2" i="11"/>
  <c r="X2" i="11" s="1"/>
  <c r="Y2" i="11" s="1"/>
  <c r="Z2" i="11" s="1"/>
  <c r="AA2" i="11" s="1"/>
  <c r="AB2" i="11" s="1"/>
  <c r="AC2" i="11" s="1"/>
  <c r="EZ2" i="11"/>
  <c r="FA2" i="11" s="1"/>
  <c r="FB2" i="11" s="1"/>
  <c r="FC2" i="11" s="1"/>
  <c r="FD2" i="11" s="1"/>
  <c r="FE2" i="11" s="1"/>
  <c r="CV2" i="11"/>
  <c r="CW2" i="11" s="1"/>
  <c r="CX2" i="11" s="1"/>
  <c r="CY2" i="11" s="1"/>
  <c r="CZ2" i="11" s="1"/>
  <c r="DA2" i="11" s="1"/>
  <c r="DB2" i="11" s="1"/>
  <c r="H14" i="11"/>
  <c r="H13" i="11"/>
  <c r="AD2" i="11" l="1"/>
  <c r="AE2" i="11" s="1"/>
  <c r="AF2" i="11" s="1"/>
  <c r="AG2" i="11" s="1"/>
  <c r="AH2" i="11" s="1"/>
  <c r="AI2" i="11" s="1"/>
  <c r="AJ2" i="11" s="1"/>
  <c r="FG2" i="11"/>
  <c r="FH2" i="11" s="1"/>
  <c r="FI2" i="11" s="1"/>
  <c r="FJ2" i="11" s="1"/>
  <c r="FK2" i="11" s="1"/>
  <c r="FL2" i="11" s="1"/>
  <c r="FM2" i="11" s="1"/>
  <c r="DC2" i="11"/>
  <c r="DD2" i="11" s="1"/>
  <c r="DE2" i="11" s="1"/>
  <c r="DF2" i="11" s="1"/>
  <c r="DG2" i="11" s="1"/>
  <c r="DH2" i="11" s="1"/>
  <c r="DI2" i="11" s="1"/>
  <c r="FM3" i="11" l="1"/>
  <c r="FN2" i="11"/>
  <c r="FO2" i="11" s="1"/>
  <c r="FP2" i="11" s="1"/>
  <c r="FQ2" i="11" s="1"/>
  <c r="FR2" i="11" s="1"/>
  <c r="FS2" i="11" s="1"/>
  <c r="FT2" i="11" s="1"/>
  <c r="DJ2" i="11"/>
  <c r="DK2" i="11" s="1"/>
  <c r="DL2" i="11" s="1"/>
  <c r="DM2" i="11" s="1"/>
  <c r="DN2" i="11" s="1"/>
  <c r="DO2" i="11" s="1"/>
  <c r="DP2" i="11" s="1"/>
  <c r="AK2" i="11"/>
  <c r="AL2" i="11" s="1"/>
  <c r="AM2" i="11" s="1"/>
  <c r="AN2" i="11" s="1"/>
  <c r="AO2" i="11" s="1"/>
  <c r="AP2" i="11" s="1"/>
  <c r="AQ2" i="11" s="1"/>
  <c r="AR2" i="11" l="1"/>
  <c r="AS2" i="11" s="1"/>
  <c r="AT2" i="11" l="1"/>
  <c r="AU2" i="11" l="1"/>
  <c r="AV2" i="11" l="1"/>
  <c r="AW2" i="11" l="1"/>
  <c r="AX2" i="11" l="1"/>
  <c r="AY2" i="11" l="1"/>
  <c r="AZ2" i="11" s="1"/>
  <c r="BA2" i="11" l="1"/>
  <c r="BB2" i="11" l="1"/>
  <c r="BC2" i="11" l="1"/>
  <c r="BD2" i="11" l="1"/>
  <c r="BE2" i="11" l="1"/>
  <c r="BF2" i="11" l="1"/>
  <c r="BG2" i="11" l="1"/>
  <c r="BH2" i="11" l="1"/>
  <c r="BI2" i="11" l="1"/>
  <c r="BJ2" i="11" l="1"/>
  <c r="BK2" i="11" l="1"/>
  <c r="BL2" i="11" l="1"/>
</calcChain>
</file>

<file path=xl/sharedStrings.xml><?xml version="1.0" encoding="utf-8"?>
<sst xmlns="http://schemas.openxmlformats.org/spreadsheetml/2006/main" count="428" uniqueCount="169">
  <si>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</si>
  <si>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</si>
  <si>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</si>
  <si>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</si>
  <si>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</si>
  <si>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</si>
  <si>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</si>
  <si>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</si>
  <si>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</si>
  <si>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</si>
  <si>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</si>
  <si>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TASK</t>
  </si>
  <si>
    <t>Insert new rows ABOVE this one</t>
  </si>
  <si>
    <t>PROGRESS</t>
  </si>
  <si>
    <t>START</t>
  </si>
  <si>
    <t>END</t>
  </si>
  <si>
    <t>DAYS</t>
  </si>
  <si>
    <t>M</t>
  </si>
  <si>
    <t>T</t>
  </si>
  <si>
    <t>W</t>
  </si>
  <si>
    <t>F</t>
  </si>
  <si>
    <t>S</t>
  </si>
  <si>
    <t>Christmas Break</t>
  </si>
  <si>
    <t>Exam Period</t>
  </si>
  <si>
    <t>A11 (Dec)</t>
  </si>
  <si>
    <t>A12 (Jan)</t>
  </si>
  <si>
    <t>A10 (Dec)</t>
  </si>
  <si>
    <t>A9 (Nov)</t>
  </si>
  <si>
    <t>A8 (Nov)</t>
  </si>
  <si>
    <t>A7 (Nov)</t>
  </si>
  <si>
    <t>A6 (Nov)</t>
  </si>
  <si>
    <t>A5 (Oct - Nov)</t>
  </si>
  <si>
    <t>A4 (Oct)</t>
  </si>
  <si>
    <t>A3 (Oct)</t>
  </si>
  <si>
    <t>A2 (Oct)</t>
  </si>
  <si>
    <t>A1 (Sep - Oct)</t>
  </si>
  <si>
    <t>S1 (Jan)</t>
  </si>
  <si>
    <t>S2 (Feb)</t>
  </si>
  <si>
    <t>S3 (Feb)</t>
  </si>
  <si>
    <t>S4 (Feb)</t>
  </si>
  <si>
    <t>S5 (Feb - Mar)</t>
  </si>
  <si>
    <t>S6 (Mar)</t>
  </si>
  <si>
    <t>S7 (Mar)</t>
  </si>
  <si>
    <t>S8 (Mar)</t>
  </si>
  <si>
    <t>Easter Break</t>
  </si>
  <si>
    <t>S9 (Apr)</t>
  </si>
  <si>
    <t>S10 (Apr)</t>
  </si>
  <si>
    <t xml:space="preserve"> </t>
  </si>
  <si>
    <t>1.1 Define Research Questions</t>
  </si>
  <si>
    <t>1.3 Analysis of ML/DL Methods</t>
  </si>
  <si>
    <t>1.4 Deliver Project Brief</t>
  </si>
  <si>
    <t>2.2 Exploratory Data Analysis</t>
  </si>
  <si>
    <t>2.4 Train/Val/Test Split</t>
  </si>
  <si>
    <t>3.1 Linear Regression baseline</t>
  </si>
  <si>
    <t>4.1 Compile Results</t>
  </si>
  <si>
    <t>4.2 Prepare Slides and Script</t>
  </si>
  <si>
    <t>4.3 Deliver Presentation</t>
  </si>
  <si>
    <t>Phase 4: Progress Review</t>
  </si>
  <si>
    <t>Phase 3: ML Baseline Development</t>
  </si>
  <si>
    <t xml:space="preserve">Phase 2: Data Preparation &amp; EDA </t>
  </si>
  <si>
    <t>Phase 1: Literature Review &amp; Project Brief</t>
  </si>
  <si>
    <t>Phase 5: Deep Learning Development</t>
  </si>
  <si>
    <t>5.3 Design CNN-LSTM Hybrid</t>
  </si>
  <si>
    <t>Phase 6: Analysis &amp; Interpretation</t>
  </si>
  <si>
    <t>Phase 7: Documentation &amp; Submission</t>
  </si>
  <si>
    <t>7.1 Abstract</t>
  </si>
  <si>
    <t>7.2 Introduction</t>
  </si>
  <si>
    <t>7.3 Literature Review</t>
  </si>
  <si>
    <t>7.4 Methodology</t>
  </si>
  <si>
    <t>7.5 Results &amp; Analysis</t>
  </si>
  <si>
    <t>7.6 Discussion</t>
  </si>
  <si>
    <t xml:space="preserve">7.8 References </t>
  </si>
  <si>
    <t>7.9 Appendicies</t>
  </si>
  <si>
    <t>Phase 8: Viva Examination</t>
  </si>
  <si>
    <t>8.2 Attend Viva</t>
  </si>
  <si>
    <t>8.1 Prepare Viva Presentation</t>
  </si>
  <si>
    <t>3.2 XGBoost Model with hyperparameter tuning</t>
  </si>
  <si>
    <t>3.3 Perform 5-fold Cross-Validation</t>
  </si>
  <si>
    <r>
      <t>3.4 Evaluate Peformance (RMSE, MAE, R</t>
    </r>
    <r>
      <rPr>
        <sz val="10"/>
        <color theme="1"/>
        <rFont val="Calibri"/>
        <family val="2"/>
      </rPr>
      <t>²</t>
    </r>
    <r>
      <rPr>
        <sz val="10"/>
        <color theme="1"/>
        <rFont val="Calibri"/>
        <family val="2"/>
        <scheme val="minor"/>
      </rPr>
      <t>)</t>
    </r>
  </si>
  <si>
    <t xml:space="preserve">3.5 Feature Importance and SHAP analysis </t>
  </si>
  <si>
    <t>5.1 Design 1D-CNN architecture</t>
  </si>
  <si>
    <t>5.2 Train and Validate CNN model</t>
  </si>
  <si>
    <t>5.4 Train and Validate Hybrid model</t>
  </si>
  <si>
    <t>5.5 Perform Ablation Studies</t>
  </si>
  <si>
    <t>6.1 Compare all models systematically</t>
  </si>
  <si>
    <t>6.2 Residual and Error Analsysis</t>
  </si>
  <si>
    <t>6.3 Test Generalization (Distribution shift)</t>
  </si>
  <si>
    <t>6.4 Document Sensor Importance Findings</t>
  </si>
  <si>
    <t>7.10 Review, edit, format and polish</t>
  </si>
  <si>
    <t>7.7 Conclusions and Recommendations</t>
  </si>
  <si>
    <t>DURATION</t>
  </si>
  <si>
    <t>FLOAT</t>
  </si>
  <si>
    <t>5 days</t>
  </si>
  <si>
    <t>33 days</t>
  </si>
  <si>
    <t>19 days</t>
  </si>
  <si>
    <t>3 days</t>
  </si>
  <si>
    <t>2 days</t>
  </si>
  <si>
    <t>12 days</t>
  </si>
  <si>
    <t xml:space="preserve">26 days </t>
  </si>
  <si>
    <t>7 days</t>
  </si>
  <si>
    <t>1 day</t>
  </si>
  <si>
    <t>Ongoing</t>
  </si>
  <si>
    <t>S11 (Apr)</t>
  </si>
  <si>
    <t>S12 (Apr)</t>
  </si>
  <si>
    <t>1.2 Collect Relevant Papers</t>
  </si>
  <si>
    <t>7.11 Final Submission</t>
  </si>
  <si>
    <t>Activity</t>
  </si>
  <si>
    <t>Description</t>
  </si>
  <si>
    <t>Duration</t>
  </si>
  <si>
    <t>ES</t>
  </si>
  <si>
    <t>EF</t>
  </si>
  <si>
    <t>LS</t>
  </si>
  <si>
    <t>LF</t>
  </si>
  <si>
    <t>Critical?</t>
  </si>
  <si>
    <t>Define Research Questions</t>
  </si>
  <si>
    <t>Collect Relevant Papers</t>
  </si>
  <si>
    <t>Analysis of ML/DL Methods</t>
  </si>
  <si>
    <t>Load and Validate N-CMAPSS</t>
  </si>
  <si>
    <t>Exploratory Data Analysis</t>
  </si>
  <si>
    <t>Data Quality Checks and Outliers</t>
  </si>
  <si>
    <t>Train/Val/Test Split</t>
  </si>
  <si>
    <t>Linear Regression baseline</t>
  </si>
  <si>
    <t>XGBoost Model with hyperparameter tuning</t>
  </si>
  <si>
    <t>Perform 5-fold Cross-Validation</t>
  </si>
  <si>
    <t>Evaluate Peformance (RMSE, MAE, R²)</t>
  </si>
  <si>
    <t xml:space="preserve">Feature Importance and SHAP analysis </t>
  </si>
  <si>
    <t>Compile Results</t>
  </si>
  <si>
    <t>Prepare Slides and Script</t>
  </si>
  <si>
    <t>Design 1D-CNN architecture</t>
  </si>
  <si>
    <t>Train and Validate CNN model</t>
  </si>
  <si>
    <t>Design CNN-LSTM Hybrid</t>
  </si>
  <si>
    <t>Train and Validate Hybrid model</t>
  </si>
  <si>
    <t>Perform Ablation Studies</t>
  </si>
  <si>
    <t>Compare all models systematically</t>
  </si>
  <si>
    <t>Residual and Error Analsysis</t>
  </si>
  <si>
    <t>Test Generalization (Distribution shift)</t>
  </si>
  <si>
    <t>Document Sensor Importance Findings</t>
  </si>
  <si>
    <t>Review, edit, format and polish</t>
  </si>
  <si>
    <t>Appendicies</t>
  </si>
  <si>
    <t xml:space="preserve">References </t>
  </si>
  <si>
    <t>Conclusions and Recommendations</t>
  </si>
  <si>
    <t>Discussion</t>
  </si>
  <si>
    <t>Results &amp; Analysis</t>
  </si>
  <si>
    <t>Methodology</t>
  </si>
  <si>
    <t>Literature Review</t>
  </si>
  <si>
    <t>Introduction</t>
  </si>
  <si>
    <t>Abstract</t>
  </si>
  <si>
    <t>Final Submission*</t>
  </si>
  <si>
    <t>Deliver Project Brief*</t>
  </si>
  <si>
    <t>Deliver Presentation*</t>
  </si>
  <si>
    <t>Prepare Viva Presentation</t>
  </si>
  <si>
    <t>Attend Viva Demonstration*</t>
  </si>
  <si>
    <t>Total Float</t>
  </si>
  <si>
    <t>Predecessors</t>
  </si>
  <si>
    <t>-</t>
  </si>
  <si>
    <t>1.2, 1.3</t>
  </si>
  <si>
    <t>2.2, 2.3</t>
  </si>
  <si>
    <t>3.5, 4.2</t>
  </si>
  <si>
    <t>5.2, 5.4</t>
  </si>
  <si>
    <t>6.2, 6.3</t>
  </si>
  <si>
    <t>2.4, 5.5</t>
  </si>
  <si>
    <t>7.10</t>
  </si>
  <si>
    <t>6.1, 6.4</t>
  </si>
  <si>
    <t>7.1, 7.2, 7.3, 7.4, 7.7, 7.8, 7.9</t>
  </si>
  <si>
    <t>1.3, 1.2</t>
  </si>
  <si>
    <t>3.3, 3.1</t>
  </si>
  <si>
    <t>3.2</t>
  </si>
  <si>
    <t>2.1 Load and Validate       MFPT/N-CMAPSS</t>
  </si>
  <si>
    <t>2.3 Synthetic RUL labels for MFPT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</si>
</sst>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29" x14ac:knownFonts="1">
    <font>
      <sz val="11"/>
      <color theme="1"/>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color theme="1"/>
      <name val="Calibri"/>
      <family val="2"/>
      <scheme val="minor"/>
    </font>
    <font>
      <sz val="10"/>
      <color theme="1"/>
      <name val="Calibri"/>
      <family val="2"/>
    </font>
    <font>
      <sz val="11"/>
      <color rgb="FF7030A0"/>
      <name val="Calibri"/>
      <family val="2"/>
      <scheme val="minor"/>
    </font>
    <font>
      <sz val="11"/>
      <color theme="4" tint="-0.249977111117893"/>
      <name val="Calibri"/>
      <family val="2"/>
      <scheme val="minor"/>
    </font>
  </fonts>
  <fills count="5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3" tint="0.39997558519241921"/>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 fillId="0" borderId="0" applyNumberFormat="0" applyFill="0" applyBorder="0" applyAlignment="0" applyProtection="0">
      <alignment vertical="top"/>
      <protection locked="0"/>
    </xf>
    <xf numFmtId="9" fontId="7" fillId="0" borderId="0" applyFont="0" applyFill="0" applyBorder="0" applyAlignment="0" applyProtection="0"/>
    <xf numFmtId="0" fontId="12"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6" fontId="7" fillId="0" borderId="3">
      <alignment horizontal="center" vertical="center"/>
    </xf>
    <xf numFmtId="167"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3"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14" fillId="0" borderId="0" applyNumberFormat="0" applyFill="0" applyBorder="0" applyAlignment="0" applyProtection="0"/>
    <xf numFmtId="0" fontId="15" fillId="14" borderId="0" applyNumberFormat="0" applyBorder="0" applyAlignment="0" applyProtection="0"/>
    <xf numFmtId="0" fontId="16" fillId="15" borderId="0" applyNumberFormat="0" applyBorder="0" applyAlignment="0" applyProtection="0"/>
    <xf numFmtId="0" fontId="17" fillId="16" borderId="0" applyNumberFormat="0" applyBorder="0" applyAlignment="0" applyProtection="0"/>
    <xf numFmtId="0" fontId="18" fillId="17" borderId="11" applyNumberFormat="0" applyAlignment="0" applyProtection="0"/>
    <xf numFmtId="0" fontId="19" fillId="18" borderId="12" applyNumberFormat="0" applyAlignment="0" applyProtection="0"/>
    <xf numFmtId="0" fontId="20" fillId="18" borderId="11" applyNumberFormat="0" applyAlignment="0" applyProtection="0"/>
    <xf numFmtId="0" fontId="21" fillId="0" borderId="13" applyNumberFormat="0" applyFill="0" applyAlignment="0" applyProtection="0"/>
    <xf numFmtId="0" fontId="22" fillId="19" borderId="14" applyNumberFormat="0" applyAlignment="0" applyProtection="0"/>
    <xf numFmtId="0" fontId="23" fillId="0" borderId="0" applyNumberFormat="0" applyFill="0" applyBorder="0" applyAlignment="0" applyProtection="0"/>
    <xf numFmtId="0" fontId="7" fillId="20" borderId="15" applyNumberFormat="0" applyFont="0" applyAlignment="0" applyProtection="0"/>
    <xf numFmtId="0" fontId="24" fillId="0" borderId="0" applyNumberFormat="0" applyFill="0" applyBorder="0" applyAlignment="0" applyProtection="0"/>
    <xf numFmtId="0" fontId="4" fillId="0" borderId="16" applyNumberFormat="0" applyFill="0" applyAlignment="0" applyProtection="0"/>
    <xf numFmtId="0" fontId="12"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2"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2"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2"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2"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12"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cellStyleXfs>
  <cellXfs count="154">
    <xf numFmtId="0" fontId="0" fillId="0" borderId="0" xfId="0"/>
    <xf numFmtId="0" fontId="0" fillId="0" borderId="0" xfId="0" applyAlignment="1">
      <alignment vertical="center"/>
    </xf>
    <xf numFmtId="0" fontId="0" fillId="0" borderId="0" xfId="0" applyAlignment="1">
      <alignment horizontal="center"/>
    </xf>
    <xf numFmtId="0" fontId="0" fillId="0" borderId="3" xfId="0" applyBorder="1" applyAlignment="1">
      <alignment horizontal="center" vertical="center"/>
    </xf>
    <xf numFmtId="0" fontId="5" fillId="13" borderId="1" xfId="0" applyFont="1" applyFill="1" applyBorder="1" applyAlignment="1">
      <alignment horizontal="left" vertical="center" indent="1"/>
    </xf>
    <xf numFmtId="0" fontId="5" fillId="13" borderId="1" xfId="0" applyFont="1" applyFill="1" applyBorder="1" applyAlignment="1">
      <alignment horizontal="center" vertical="center" wrapText="1"/>
    </xf>
    <xf numFmtId="0" fontId="10" fillId="12" borderId="8" xfId="0" applyFont="1" applyFill="1" applyBorder="1" applyAlignment="1">
      <alignment horizontal="center" vertical="center" shrinkToFit="1"/>
    </xf>
    <xf numFmtId="9" fontId="3" fillId="0" borderId="2" xfId="2" applyFont="1" applyBorder="1" applyAlignment="1">
      <alignment horizontal="center" vertical="center"/>
    </xf>
    <xf numFmtId="0" fontId="3" fillId="0" borderId="2" xfId="0" applyFont="1" applyBorder="1" applyAlignment="1">
      <alignment horizontal="center" vertical="center"/>
    </xf>
    <xf numFmtId="0" fontId="4" fillId="8" borderId="2" xfId="0" applyFont="1" applyFill="1" applyBorder="1" applyAlignment="1">
      <alignment horizontal="left" vertical="center" indent="1"/>
    </xf>
    <xf numFmtId="9" fontId="3" fillId="8" borderId="2" xfId="2" applyFont="1" applyFill="1" applyBorder="1" applyAlignment="1">
      <alignment horizontal="center" vertical="center"/>
    </xf>
    <xf numFmtId="9" fontId="3" fillId="3" borderId="2" xfId="2" applyFont="1" applyFill="1" applyBorder="1" applyAlignment="1">
      <alignment horizontal="center" vertical="center"/>
    </xf>
    <xf numFmtId="0" fontId="4" fillId="9" borderId="2" xfId="0" applyFont="1" applyFill="1" applyBorder="1" applyAlignment="1">
      <alignment horizontal="left" vertical="center" indent="1"/>
    </xf>
    <xf numFmtId="9" fontId="3" fillId="9" borderId="2" xfId="2" applyFont="1" applyFill="1" applyBorder="1" applyAlignment="1">
      <alignment horizontal="center" vertical="center"/>
    </xf>
    <xf numFmtId="9" fontId="3" fillId="4" borderId="2" xfId="2" applyFont="1" applyFill="1" applyBorder="1" applyAlignment="1">
      <alignment horizontal="center" vertical="center"/>
    </xf>
    <xf numFmtId="0" fontId="4" fillId="6" borderId="2" xfId="0" applyFont="1" applyFill="1" applyBorder="1" applyAlignment="1">
      <alignment horizontal="left" vertical="center" indent="1"/>
    </xf>
    <xf numFmtId="9" fontId="3" fillId="6" borderId="2" xfId="2" applyFont="1" applyFill="1" applyBorder="1" applyAlignment="1">
      <alignment horizontal="center" vertical="center"/>
    </xf>
    <xf numFmtId="9" fontId="3" fillId="11" borderId="2" xfId="2" applyFont="1" applyFill="1" applyBorder="1" applyAlignment="1">
      <alignment horizontal="center" vertical="center"/>
    </xf>
    <xf numFmtId="0" fontId="4" fillId="5" borderId="2" xfId="0" applyFont="1" applyFill="1" applyBorder="1" applyAlignment="1">
      <alignment horizontal="left" vertical="center" indent="1"/>
    </xf>
    <xf numFmtId="9" fontId="3" fillId="5" borderId="2" xfId="2" applyFont="1" applyFill="1" applyBorder="1" applyAlignment="1">
      <alignment horizontal="center" vertical="center"/>
    </xf>
    <xf numFmtId="9" fontId="3" fillId="10" borderId="2" xfId="2" applyFont="1" applyFill="1" applyBorder="1" applyAlignment="1">
      <alignment horizontal="center" vertical="center"/>
    </xf>
    <xf numFmtId="0" fontId="6" fillId="2" borderId="2" xfId="0" applyFont="1" applyFill="1" applyBorder="1" applyAlignment="1">
      <alignment horizontal="left" vertical="center" indent="1"/>
    </xf>
    <xf numFmtId="9" fontId="3" fillId="2" borderId="2" xfId="2" applyFont="1" applyFill="1" applyBorder="1" applyAlignment="1">
      <alignment horizontal="center" vertical="center"/>
    </xf>
    <xf numFmtId="0" fontId="3"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12" fillId="0" borderId="0" xfId="3"/>
    <xf numFmtId="0" fontId="12" fillId="0" borderId="0" xfId="3" applyAlignment="1">
      <alignment wrapText="1"/>
    </xf>
    <xf numFmtId="0" fontId="7" fillId="0" borderId="2" xfId="12">
      <alignment horizontal="left" vertical="center" indent="2"/>
    </xf>
    <xf numFmtId="0" fontId="0" fillId="0" borderId="10" xfId="0" applyBorder="1"/>
    <xf numFmtId="167" fontId="0" fillId="8" borderId="2" xfId="0" applyNumberFormat="1" applyFill="1" applyBorder="1" applyAlignment="1">
      <alignment horizontal="center" vertical="center"/>
    </xf>
    <xf numFmtId="167" fontId="3" fillId="8" borderId="2" xfId="0" applyNumberFormat="1" applyFont="1" applyFill="1" applyBorder="1" applyAlignment="1">
      <alignment horizontal="center" vertical="center"/>
    </xf>
    <xf numFmtId="167" fontId="7" fillId="3" borderId="2" xfId="10" applyFill="1">
      <alignment horizontal="center" vertical="center"/>
    </xf>
    <xf numFmtId="167" fontId="0" fillId="9" borderId="2" xfId="0" applyNumberFormat="1" applyFill="1" applyBorder="1" applyAlignment="1">
      <alignment horizontal="center" vertical="center"/>
    </xf>
    <xf numFmtId="167" fontId="3" fillId="9" borderId="2" xfId="0" applyNumberFormat="1" applyFont="1" applyFill="1" applyBorder="1" applyAlignment="1">
      <alignment horizontal="center" vertical="center"/>
    </xf>
    <xf numFmtId="167" fontId="7" fillId="4" borderId="2" xfId="10" applyFill="1">
      <alignment horizontal="center" vertical="center"/>
    </xf>
    <xf numFmtId="167" fontId="0" fillId="6" borderId="2" xfId="0" applyNumberFormat="1" applyFill="1" applyBorder="1" applyAlignment="1">
      <alignment horizontal="center" vertical="center"/>
    </xf>
    <xf numFmtId="167" fontId="3" fillId="6" borderId="2" xfId="0" applyNumberFormat="1" applyFont="1" applyFill="1" applyBorder="1" applyAlignment="1">
      <alignment horizontal="center" vertical="center"/>
    </xf>
    <xf numFmtId="167" fontId="7" fillId="11" borderId="2" xfId="10" applyFill="1">
      <alignment horizontal="center" vertical="center"/>
    </xf>
    <xf numFmtId="167" fontId="0" fillId="5" borderId="2" xfId="0" applyNumberFormat="1" applyFill="1" applyBorder="1" applyAlignment="1">
      <alignment horizontal="center" vertical="center"/>
    </xf>
    <xf numFmtId="167" fontId="3" fillId="5" borderId="2" xfId="0" applyNumberFormat="1" applyFont="1" applyFill="1" applyBorder="1" applyAlignment="1">
      <alignment horizontal="center" vertical="center"/>
    </xf>
    <xf numFmtId="167" fontId="7" fillId="10" borderId="2" xfId="10" applyFill="1">
      <alignment horizontal="center" vertical="center"/>
    </xf>
    <xf numFmtId="167" fontId="7" fillId="0" borderId="2" xfId="10">
      <alignment horizontal="center" vertical="center"/>
    </xf>
    <xf numFmtId="167" fontId="2" fillId="2" borderId="2" xfId="0" applyNumberFormat="1" applyFont="1" applyFill="1" applyBorder="1" applyAlignment="1">
      <alignment horizontal="left" vertical="center"/>
    </xf>
    <xf numFmtId="167" fontId="3" fillId="2" borderId="2" xfId="0" applyNumberFormat="1" applyFont="1" applyFill="1" applyBorder="1" applyAlignment="1">
      <alignment horizontal="center" vertical="center"/>
    </xf>
    <xf numFmtId="168" fontId="9" fillId="7" borderId="6" xfId="0" applyNumberFormat="1" applyFont="1" applyFill="1" applyBorder="1" applyAlignment="1">
      <alignment horizontal="center" vertical="center"/>
    </xf>
    <xf numFmtId="168" fontId="9" fillId="7" borderId="0" xfId="0" applyNumberFormat="1" applyFont="1" applyFill="1" applyAlignment="1">
      <alignment horizontal="center" vertical="center"/>
    </xf>
    <xf numFmtId="168" fontId="9" fillId="7" borderId="7" xfId="0" applyNumberFormat="1" applyFont="1" applyFill="1" applyBorder="1" applyAlignment="1">
      <alignment horizontal="center" vertical="center"/>
    </xf>
    <xf numFmtId="0" fontId="7" fillId="0" borderId="7" xfId="8" applyBorder="1">
      <alignment horizontal="right" indent="1"/>
    </xf>
    <xf numFmtId="0" fontId="7" fillId="3" borderId="2" xfId="12" applyFill="1" applyAlignment="1">
      <alignment vertical="center" wrapText="1"/>
    </xf>
    <xf numFmtId="0" fontId="7" fillId="4" borderId="2" xfId="12" applyFill="1" applyAlignment="1">
      <alignment vertical="center" wrapText="1"/>
    </xf>
    <xf numFmtId="0" fontId="7" fillId="11" borderId="2" xfId="12" applyFill="1" applyAlignment="1">
      <alignment vertical="center" wrapText="1"/>
    </xf>
    <xf numFmtId="0" fontId="7" fillId="10" borderId="2" xfId="12" applyFill="1" applyAlignment="1">
      <alignment vertical="center" wrapText="1"/>
    </xf>
    <xf numFmtId="0" fontId="25" fillId="10" borderId="2" xfId="12" applyFont="1" applyFill="1" applyAlignment="1">
      <alignment vertical="center" wrapText="1"/>
    </xf>
    <xf numFmtId="0" fontId="7" fillId="3" borderId="2" xfId="10" applyNumberFormat="1" applyFill="1">
      <alignment horizontal="center" vertical="center"/>
    </xf>
    <xf numFmtId="0" fontId="0" fillId="0" borderId="0" xfId="0" applyAlignment="1">
      <alignment horizontal="center" vertical="center"/>
    </xf>
    <xf numFmtId="0" fontId="0" fillId="8" borderId="2" xfId="0" applyFill="1" applyBorder="1" applyAlignment="1">
      <alignment horizontal="center" vertical="center"/>
    </xf>
    <xf numFmtId="0" fontId="0" fillId="9" borderId="2" xfId="0" applyFill="1" applyBorder="1" applyAlignment="1">
      <alignment horizontal="center" vertical="center"/>
    </xf>
    <xf numFmtId="0" fontId="7" fillId="4" borderId="2" xfId="10" applyNumberFormat="1" applyFill="1">
      <alignment horizontal="center" vertical="center"/>
    </xf>
    <xf numFmtId="0" fontId="0" fillId="6" borderId="2" xfId="0" applyFill="1" applyBorder="1" applyAlignment="1">
      <alignment horizontal="center" vertical="center"/>
    </xf>
    <xf numFmtId="0" fontId="7" fillId="11" borderId="2" xfId="10" applyNumberFormat="1" applyFill="1">
      <alignment horizontal="center" vertical="center"/>
    </xf>
    <xf numFmtId="0" fontId="0" fillId="5" borderId="2" xfId="0" applyFill="1" applyBorder="1" applyAlignment="1">
      <alignment horizontal="center" vertical="center"/>
    </xf>
    <xf numFmtId="0" fontId="7" fillId="10" borderId="2" xfId="10" applyNumberFormat="1" applyFill="1">
      <alignment horizontal="center" vertical="center"/>
    </xf>
    <xf numFmtId="0" fontId="7" fillId="0" borderId="2" xfId="10" applyNumberFormat="1">
      <alignment horizontal="center" vertical="center"/>
    </xf>
    <xf numFmtId="0" fontId="2" fillId="2" borderId="2" xfId="0" applyFont="1" applyFill="1" applyBorder="1" applyAlignment="1">
      <alignment horizontal="left" vertical="center"/>
    </xf>
    <xf numFmtId="0" fontId="0" fillId="8" borderId="9" xfId="0" applyFill="1" applyBorder="1" applyAlignment="1">
      <alignment vertical="center"/>
    </xf>
    <xf numFmtId="0" fontId="0" fillId="9" borderId="9" xfId="0" applyFill="1" applyBorder="1" applyAlignment="1">
      <alignment vertical="center"/>
    </xf>
    <xf numFmtId="0" fontId="0" fillId="6" borderId="9" xfId="0" applyFill="1" applyBorder="1" applyAlignment="1">
      <alignment vertical="center"/>
    </xf>
    <xf numFmtId="0" fontId="0" fillId="5" borderId="9" xfId="0" applyFill="1" applyBorder="1" applyAlignment="1">
      <alignment vertical="center"/>
    </xf>
    <xf numFmtId="0" fontId="4" fillId="45" borderId="2" xfId="0" applyFont="1" applyFill="1" applyBorder="1" applyAlignment="1">
      <alignment horizontal="left" vertical="center" indent="1"/>
    </xf>
    <xf numFmtId="9" fontId="3" fillId="45" borderId="2" xfId="2" applyFont="1" applyFill="1" applyBorder="1" applyAlignment="1">
      <alignment horizontal="center" vertical="center"/>
    </xf>
    <xf numFmtId="167" fontId="0" fillId="45" borderId="2" xfId="0" applyNumberFormat="1" applyFill="1" applyBorder="1" applyAlignment="1">
      <alignment horizontal="center" vertical="center"/>
    </xf>
    <xf numFmtId="167" fontId="3" fillId="45" borderId="2" xfId="0" applyNumberFormat="1" applyFont="1" applyFill="1" applyBorder="1" applyAlignment="1">
      <alignment horizontal="center" vertical="center"/>
    </xf>
    <xf numFmtId="0" fontId="0" fillId="45" borderId="2" xfId="0" applyFill="1" applyBorder="1" applyAlignment="1">
      <alignment horizontal="center" vertical="center"/>
    </xf>
    <xf numFmtId="0" fontId="7" fillId="46" borderId="2" xfId="12" applyFill="1" applyAlignment="1">
      <alignment vertical="center" wrapText="1"/>
    </xf>
    <xf numFmtId="9" fontId="3" fillId="46" borderId="2" xfId="2" applyFont="1" applyFill="1" applyBorder="1" applyAlignment="1">
      <alignment horizontal="center" vertical="center"/>
    </xf>
    <xf numFmtId="167" fontId="7" fillId="46" borderId="2" xfId="10" applyFill="1">
      <alignment horizontal="center" vertical="center"/>
    </xf>
    <xf numFmtId="0" fontId="7" fillId="46" borderId="2" xfId="10" applyNumberFormat="1" applyFill="1">
      <alignment horizontal="center" vertical="center"/>
    </xf>
    <xf numFmtId="0" fontId="0" fillId="46" borderId="2" xfId="12" applyFont="1" applyFill="1" applyAlignment="1">
      <alignment vertical="center" wrapText="1"/>
    </xf>
    <xf numFmtId="0" fontId="0" fillId="45" borderId="9" xfId="0" applyFill="1" applyBorder="1" applyAlignment="1">
      <alignment vertical="center"/>
    </xf>
    <xf numFmtId="0" fontId="0" fillId="46" borderId="9" xfId="0" applyFill="1" applyBorder="1" applyAlignment="1">
      <alignment vertical="center"/>
    </xf>
    <xf numFmtId="0" fontId="0" fillId="46" borderId="9" xfId="0" applyFill="1" applyBorder="1" applyAlignment="1">
      <alignment horizontal="right" vertical="center"/>
    </xf>
    <xf numFmtId="0" fontId="4" fillId="47" borderId="2" xfId="0" applyFont="1" applyFill="1" applyBorder="1" applyAlignment="1">
      <alignment horizontal="left" vertical="center" indent="1"/>
    </xf>
    <xf numFmtId="9" fontId="3" fillId="47" borderId="2" xfId="2" applyFont="1" applyFill="1" applyBorder="1" applyAlignment="1">
      <alignment horizontal="center" vertical="center"/>
    </xf>
    <xf numFmtId="167" fontId="0" fillId="47" borderId="2" xfId="0" applyNumberFormat="1" applyFill="1" applyBorder="1" applyAlignment="1">
      <alignment horizontal="center" vertical="center"/>
    </xf>
    <xf numFmtId="167" fontId="3" fillId="47" borderId="2" xfId="0" applyNumberFormat="1" applyFont="1" applyFill="1" applyBorder="1" applyAlignment="1">
      <alignment horizontal="center" vertical="center"/>
    </xf>
    <xf numFmtId="0" fontId="0" fillId="47" borderId="2" xfId="0" applyFill="1" applyBorder="1" applyAlignment="1">
      <alignment horizontal="center" vertical="center"/>
    </xf>
    <xf numFmtId="0" fontId="7" fillId="48" borderId="2" xfId="12" applyFill="1" applyAlignment="1">
      <alignment vertical="center" wrapText="1"/>
    </xf>
    <xf numFmtId="9" fontId="3" fillId="48" borderId="2" xfId="2" applyFont="1" applyFill="1" applyBorder="1" applyAlignment="1">
      <alignment horizontal="center" vertical="center"/>
    </xf>
    <xf numFmtId="167" fontId="7" fillId="48" borderId="2" xfId="10" applyFill="1">
      <alignment horizontal="center" vertical="center"/>
    </xf>
    <xf numFmtId="0" fontId="7" fillId="48" borderId="2" xfId="10" applyNumberFormat="1" applyFill="1">
      <alignment horizontal="center" vertical="center"/>
    </xf>
    <xf numFmtId="0" fontId="0" fillId="47" borderId="9" xfId="0" applyFill="1" applyBorder="1" applyAlignment="1">
      <alignment vertical="center"/>
    </xf>
    <xf numFmtId="0" fontId="0" fillId="48" borderId="9" xfId="0" applyFill="1" applyBorder="1" applyAlignment="1">
      <alignment vertical="center"/>
    </xf>
    <xf numFmtId="0" fontId="25" fillId="4" borderId="2" xfId="12" applyFont="1" applyFill="1" applyAlignment="1">
      <alignment vertical="center" wrapText="1"/>
    </xf>
    <xf numFmtId="0" fontId="0" fillId="4" borderId="9" xfId="0" applyFill="1" applyBorder="1" applyAlignment="1">
      <alignment vertical="center"/>
    </xf>
    <xf numFmtId="0" fontId="0" fillId="4" borderId="0" xfId="0" applyFill="1" applyAlignment="1">
      <alignment vertical="center"/>
    </xf>
    <xf numFmtId="0" fontId="0" fillId="3" borderId="9" xfId="0" applyFill="1" applyBorder="1" applyAlignment="1">
      <alignment vertical="center"/>
    </xf>
    <xf numFmtId="0" fontId="4" fillId="49" borderId="2" xfId="0" applyFont="1" applyFill="1" applyBorder="1" applyAlignment="1">
      <alignment horizontal="left" vertical="center" indent="1"/>
    </xf>
    <xf numFmtId="9" fontId="3" fillId="49" borderId="2" xfId="2" applyFont="1" applyFill="1" applyBorder="1" applyAlignment="1">
      <alignment horizontal="center" vertical="center"/>
    </xf>
    <xf numFmtId="167" fontId="0" fillId="49" borderId="2" xfId="0" applyNumberFormat="1" applyFill="1" applyBorder="1" applyAlignment="1">
      <alignment horizontal="center" vertical="center"/>
    </xf>
    <xf numFmtId="167" fontId="3" fillId="49" borderId="2" xfId="0" applyNumberFormat="1" applyFont="1" applyFill="1" applyBorder="1" applyAlignment="1">
      <alignment horizontal="center" vertical="center"/>
    </xf>
    <xf numFmtId="0" fontId="0" fillId="49" borderId="2" xfId="0" applyFill="1" applyBorder="1" applyAlignment="1">
      <alignment horizontal="center" vertical="center"/>
    </xf>
    <xf numFmtId="0" fontId="7" fillId="50" borderId="2" xfId="12" applyFill="1" applyAlignment="1">
      <alignment vertical="center" wrapText="1"/>
    </xf>
    <xf numFmtId="9" fontId="3" fillId="50" borderId="2" xfId="2" applyFont="1" applyFill="1" applyBorder="1" applyAlignment="1">
      <alignment horizontal="center" vertical="center"/>
    </xf>
    <xf numFmtId="167" fontId="7" fillId="50" borderId="2" xfId="10" applyFill="1">
      <alignment horizontal="center" vertical="center"/>
    </xf>
    <xf numFmtId="0" fontId="7" fillId="50" borderId="2" xfId="10" applyNumberFormat="1" applyFill="1">
      <alignment horizontal="center" vertical="center"/>
    </xf>
    <xf numFmtId="0" fontId="4" fillId="51" borderId="2" xfId="0" applyFont="1" applyFill="1" applyBorder="1" applyAlignment="1">
      <alignment horizontal="left" vertical="center" indent="1"/>
    </xf>
    <xf numFmtId="9" fontId="3" fillId="51" borderId="2" xfId="2" applyFont="1" applyFill="1" applyBorder="1" applyAlignment="1">
      <alignment horizontal="center" vertical="center"/>
    </xf>
    <xf numFmtId="167" fontId="0" fillId="51" borderId="2" xfId="0" applyNumberFormat="1" applyFill="1" applyBorder="1" applyAlignment="1">
      <alignment horizontal="center" vertical="center"/>
    </xf>
    <xf numFmtId="167" fontId="3" fillId="51" borderId="2" xfId="0" applyNumberFormat="1" applyFont="1" applyFill="1" applyBorder="1" applyAlignment="1">
      <alignment horizontal="center" vertical="center"/>
    </xf>
    <xf numFmtId="0" fontId="0" fillId="51" borderId="2" xfId="0" applyFill="1" applyBorder="1" applyAlignment="1">
      <alignment horizontal="center" vertical="center"/>
    </xf>
    <xf numFmtId="0" fontId="7" fillId="52" borderId="2" xfId="12" applyFill="1" applyAlignment="1">
      <alignment vertical="center" wrapText="1"/>
    </xf>
    <xf numFmtId="9" fontId="3" fillId="52" borderId="2" xfId="2" applyFont="1" applyFill="1" applyBorder="1" applyAlignment="1">
      <alignment horizontal="center" vertical="center"/>
    </xf>
    <xf numFmtId="167" fontId="7" fillId="52" borderId="2" xfId="10" applyFill="1">
      <alignment horizontal="center" vertical="center"/>
    </xf>
    <xf numFmtId="0" fontId="7" fillId="52" borderId="2" xfId="10" applyNumberFormat="1" applyFill="1">
      <alignment horizontal="center" vertical="center"/>
    </xf>
    <xf numFmtId="167" fontId="7" fillId="53" borderId="2" xfId="10" applyFill="1">
      <alignment horizontal="center" vertical="center"/>
    </xf>
    <xf numFmtId="0" fontId="7" fillId="53" borderId="2" xfId="10" applyNumberFormat="1" applyFill="1">
      <alignment horizontal="center" vertical="center"/>
    </xf>
    <xf numFmtId="0" fontId="7" fillId="53" borderId="2" xfId="12" applyFill="1" applyAlignment="1">
      <alignment vertical="center" wrapText="1"/>
    </xf>
    <xf numFmtId="0" fontId="28" fillId="53" borderId="9" xfId="0" applyFont="1" applyFill="1" applyBorder="1" applyAlignment="1">
      <alignment vertical="center"/>
    </xf>
    <xf numFmtId="0" fontId="7" fillId="54" borderId="2" xfId="12" applyFill="1" applyAlignment="1">
      <alignment vertical="center" wrapText="1"/>
    </xf>
    <xf numFmtId="9" fontId="3" fillId="54" borderId="2" xfId="2" applyFont="1" applyFill="1" applyBorder="1" applyAlignment="1">
      <alignment horizontal="center" vertical="center"/>
    </xf>
    <xf numFmtId="167" fontId="7" fillId="54" borderId="2" xfId="10" applyFill="1">
      <alignment horizontal="center" vertical="center"/>
    </xf>
    <xf numFmtId="0" fontId="7" fillId="54" borderId="2" xfId="10" applyNumberFormat="1" applyFill="1">
      <alignment horizontal="center" vertical="center"/>
    </xf>
    <xf numFmtId="0" fontId="27" fillId="54" borderId="9" xfId="0" applyFont="1" applyFill="1" applyBorder="1" applyAlignment="1">
      <alignment vertical="center"/>
    </xf>
    <xf numFmtId="0" fontId="7" fillId="55" borderId="2" xfId="12" applyFill="1" applyAlignment="1">
      <alignment vertical="center" wrapText="1"/>
    </xf>
    <xf numFmtId="9" fontId="7" fillId="55" borderId="2" xfId="2" applyFont="1" applyFill="1" applyBorder="1" applyAlignment="1">
      <alignment horizontal="center" vertical="center"/>
    </xf>
    <xf numFmtId="167" fontId="7" fillId="55" borderId="2" xfId="10" applyFill="1">
      <alignment horizontal="center" vertical="center"/>
    </xf>
    <xf numFmtId="0" fontId="7" fillId="55" borderId="2" xfId="10" applyNumberFormat="1" applyFill="1">
      <alignment horizontal="center" vertical="center"/>
    </xf>
    <xf numFmtId="0" fontId="7" fillId="56" borderId="2" xfId="12" applyFill="1" applyAlignment="1">
      <alignment vertical="center" wrapText="1"/>
    </xf>
    <xf numFmtId="9" fontId="3" fillId="56" borderId="2" xfId="2" applyFont="1" applyFill="1" applyBorder="1" applyAlignment="1">
      <alignment horizontal="center" vertical="center"/>
    </xf>
    <xf numFmtId="167" fontId="7" fillId="56" borderId="2" xfId="10" applyFill="1">
      <alignment horizontal="center" vertical="center"/>
    </xf>
    <xf numFmtId="0" fontId="7" fillId="56" borderId="2" xfId="10" applyNumberFormat="1" applyFill="1">
      <alignment horizontal="center" vertical="center"/>
    </xf>
    <xf numFmtId="0" fontId="0" fillId="11" borderId="9" xfId="0" applyFill="1" applyBorder="1" applyAlignment="1">
      <alignment vertical="center"/>
    </xf>
    <xf numFmtId="0" fontId="0" fillId="11" borderId="0" xfId="0" applyFill="1"/>
    <xf numFmtId="0" fontId="0" fillId="10" borderId="9" xfId="0" applyFill="1" applyBorder="1" applyAlignment="1">
      <alignment vertical="center"/>
    </xf>
    <xf numFmtId="0" fontId="0" fillId="49" borderId="9" xfId="0" applyFill="1" applyBorder="1" applyAlignment="1">
      <alignment vertical="center"/>
    </xf>
    <xf numFmtId="0" fontId="0" fillId="50" borderId="9" xfId="0" applyFill="1" applyBorder="1" applyAlignment="1">
      <alignment vertical="center"/>
    </xf>
    <xf numFmtId="0" fontId="0" fillId="55" borderId="9" xfId="0" applyFill="1" applyBorder="1" applyAlignment="1">
      <alignment vertical="center"/>
    </xf>
    <xf numFmtId="0" fontId="0" fillId="51" borderId="9" xfId="0" applyFill="1" applyBorder="1" applyAlignment="1">
      <alignment vertical="center"/>
    </xf>
    <xf numFmtId="0" fontId="0" fillId="52" borderId="9" xfId="0" applyFill="1" applyBorder="1" applyAlignment="1">
      <alignment vertical="center"/>
    </xf>
    <xf numFmtId="0" fontId="0" fillId="56" borderId="9" xfId="0" applyFill="1" applyBorder="1" applyAlignment="1">
      <alignment vertical="center"/>
    </xf>
    <xf numFmtId="0" fontId="0" fillId="56" borderId="0" xfId="0" applyFill="1"/>
    <xf numFmtId="0" fontId="0" fillId="0" borderId="0" xfId="0" applyAlignment="1">
      <alignment horizontal="left"/>
    </xf>
    <xf numFmtId="0" fontId="22" fillId="57" borderId="0" xfId="0" applyFont="1" applyFill="1"/>
    <xf numFmtId="0" fontId="0" fillId="50" borderId="2" xfId="10" applyNumberFormat="1" applyFont="1" applyFill="1">
      <alignment horizontal="center" vertical="center"/>
    </xf>
    <xf numFmtId="0" fontId="0" fillId="3" borderId="2" xfId="10" applyNumberFormat="1" applyFont="1" applyFill="1">
      <alignment horizontal="center" vertical="center"/>
    </xf>
    <xf numFmtId="49" fontId="22" fillId="57" borderId="0" xfId="0" applyNumberFormat="1" applyFont="1" applyFill="1"/>
    <xf numFmtId="49" fontId="0" fillId="0" borderId="0" xfId="0" applyNumberFormat="1" applyAlignment="1">
      <alignment horizontal="center"/>
    </xf>
    <xf numFmtId="49" fontId="0" fillId="0" borderId="0" xfId="0" applyNumberFormat="1"/>
    <xf numFmtId="49" fontId="0" fillId="0" borderId="0" xfId="0" applyNumberFormat="1" applyAlignment="1">
      <alignment horizontal="left"/>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9">
    <dxf>
      <fill>
        <patternFill>
          <bgColor rgb="FFFBE37D"/>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8"/>
      <tableStyleElement type="headerRow" dxfId="17"/>
      <tableStyleElement type="totalRow" dxfId="16"/>
      <tableStyleElement type="firstColumn" dxfId="15"/>
      <tableStyleElement type="lastColumn" dxfId="14"/>
      <tableStyleElement type="firstRowStripe" dxfId="13"/>
      <tableStyleElement type="secondRowStripe" dxfId="12"/>
      <tableStyleElement type="firstColumnStripe" dxfId="11"/>
      <tableStyleElement type="secondColumn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BE37D"/>
      <color rgb="FFE4DFEC"/>
      <color rgb="FFEBF1DE"/>
      <color rgb="FFF2DCDB"/>
      <color rgb="FFDCE6F1"/>
      <color rgb="FFC0C0C0"/>
      <color rgb="FF215881"/>
      <color rgb="FF42648A"/>
      <color rgb="FF969696"/>
      <color rgb="FF427F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31</xdr:col>
      <xdr:colOff>22859</xdr:colOff>
      <xdr:row>8</xdr:row>
      <xdr:rowOff>28575</xdr:rowOff>
    </xdr:from>
    <xdr:to>
      <xdr:col>31</xdr:col>
      <xdr:colOff>152400</xdr:colOff>
      <xdr:row>8</xdr:row>
      <xdr:rowOff>348615</xdr:rowOff>
    </xdr:to>
    <xdr:sp macro="" textlink="">
      <xdr:nvSpPr>
        <xdr:cNvPr id="2" name="Diamond 1">
          <a:extLst>
            <a:ext uri="{FF2B5EF4-FFF2-40B4-BE49-F238E27FC236}">
              <a16:creationId xmlns:a16="http://schemas.microsoft.com/office/drawing/2014/main" id="{332531F1-D6EF-F544-0693-565A723B27BA}"/>
            </a:ext>
          </a:extLst>
        </xdr:cNvPr>
        <xdr:cNvSpPr>
          <a:spLocks/>
        </xdr:cNvSpPr>
      </xdr:nvSpPr>
      <xdr:spPr>
        <a:xfrm>
          <a:off x="9100184" y="3657600"/>
          <a:ext cx="129541" cy="320040"/>
        </a:xfrm>
        <a:prstGeom prst="diamond">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82</xdr:col>
      <xdr:colOff>19050</xdr:colOff>
      <xdr:row>23</xdr:row>
      <xdr:rowOff>28575</xdr:rowOff>
    </xdr:from>
    <xdr:to>
      <xdr:col>82</xdr:col>
      <xdr:colOff>152401</xdr:colOff>
      <xdr:row>23</xdr:row>
      <xdr:rowOff>352425</xdr:rowOff>
    </xdr:to>
    <xdr:sp macro="" textlink="">
      <xdr:nvSpPr>
        <xdr:cNvPr id="3" name="Diamond 2">
          <a:extLst>
            <a:ext uri="{FF2B5EF4-FFF2-40B4-BE49-F238E27FC236}">
              <a16:creationId xmlns:a16="http://schemas.microsoft.com/office/drawing/2014/main" id="{06E54CAA-CE8E-4E99-AF16-38CECEA294C7}"/>
            </a:ext>
          </a:extLst>
        </xdr:cNvPr>
        <xdr:cNvSpPr>
          <a:spLocks/>
        </xdr:cNvSpPr>
      </xdr:nvSpPr>
      <xdr:spPr>
        <a:xfrm>
          <a:off x="17840325" y="8229600"/>
          <a:ext cx="133351" cy="323850"/>
        </a:xfrm>
        <a:prstGeom prst="diamond">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187</xdr:col>
      <xdr:colOff>19050</xdr:colOff>
      <xdr:row>46</xdr:row>
      <xdr:rowOff>9525</xdr:rowOff>
    </xdr:from>
    <xdr:to>
      <xdr:col>187</xdr:col>
      <xdr:colOff>148591</xdr:colOff>
      <xdr:row>46</xdr:row>
      <xdr:rowOff>340995</xdr:rowOff>
    </xdr:to>
    <xdr:sp macro="" textlink="">
      <xdr:nvSpPr>
        <xdr:cNvPr id="4" name="Diamond 3">
          <a:extLst>
            <a:ext uri="{FF2B5EF4-FFF2-40B4-BE49-F238E27FC236}">
              <a16:creationId xmlns:a16="http://schemas.microsoft.com/office/drawing/2014/main" id="{6D6AC02A-144D-42B1-821F-7DBD9533756D}"/>
            </a:ext>
          </a:extLst>
        </xdr:cNvPr>
        <xdr:cNvSpPr>
          <a:spLocks/>
        </xdr:cNvSpPr>
      </xdr:nvSpPr>
      <xdr:spPr>
        <a:xfrm>
          <a:off x="36995100" y="16970375"/>
          <a:ext cx="129541" cy="331470"/>
        </a:xfrm>
        <a:prstGeom prst="diamond">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218</xdr:col>
      <xdr:colOff>36195</xdr:colOff>
      <xdr:row>49</xdr:row>
      <xdr:rowOff>26670</xdr:rowOff>
    </xdr:from>
    <xdr:to>
      <xdr:col>229</xdr:col>
      <xdr:colOff>123824</xdr:colOff>
      <xdr:row>49</xdr:row>
      <xdr:rowOff>361950</xdr:rowOff>
    </xdr:to>
    <xdr:sp macro="" textlink="">
      <xdr:nvSpPr>
        <xdr:cNvPr id="5" name="Diamond 4">
          <a:extLst>
            <a:ext uri="{FF2B5EF4-FFF2-40B4-BE49-F238E27FC236}">
              <a16:creationId xmlns:a16="http://schemas.microsoft.com/office/drawing/2014/main" id="{4FA64D78-E011-4CDD-BB47-5C8FC11A2615}"/>
            </a:ext>
          </a:extLst>
        </xdr:cNvPr>
        <xdr:cNvSpPr>
          <a:spLocks/>
        </xdr:cNvSpPr>
      </xdr:nvSpPr>
      <xdr:spPr>
        <a:xfrm>
          <a:off x="41174670" y="18133695"/>
          <a:ext cx="1973579" cy="335280"/>
        </a:xfrm>
        <a:prstGeom prst="diamond">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X53"/>
  <sheetViews>
    <sheetView showGridLines="0" tabSelected="1" showRuler="0" topLeftCell="B1" zoomScale="120" zoomScaleNormal="120" zoomScalePageLayoutView="70" workbookViewId="0">
      <pane xSplit="7" ySplit="4" topLeftCell="I41" activePane="bottomRight" state="frozen"/>
      <selection activeCell="B1" sqref="B1"/>
      <selection pane="topRight" activeCell="I1" sqref="I1"/>
      <selection pane="bottomLeft" activeCell="B8" sqref="B8"/>
      <selection pane="bottomRight" activeCell="E48" sqref="E48"/>
    </sheetView>
  </sheetViews>
  <sheetFormatPr defaultRowHeight="30" customHeight="1" x14ac:dyDescent="0.3"/>
  <cols>
    <col min="1" max="1" width="2.6640625" style="27" customWidth="1"/>
    <col min="2" max="2" width="19.88671875" customWidth="1"/>
    <col min="3" max="3" width="10.6640625" customWidth="1"/>
    <col min="4" max="4" width="10.44140625" style="2" customWidth="1"/>
    <col min="5" max="5" width="10.44140625" customWidth="1"/>
    <col min="6" max="7" width="10.44140625" style="2" customWidth="1"/>
    <col min="8" max="8" width="6.109375" hidden="1" customWidth="1"/>
    <col min="9" max="232" width="2.5546875" customWidth="1"/>
  </cols>
  <sheetData>
    <row r="1" spans="1:232" ht="30" customHeight="1" x14ac:dyDescent="0.3">
      <c r="A1" s="28" t="s">
        <v>0</v>
      </c>
      <c r="C1" s="49"/>
      <c r="D1" s="3"/>
      <c r="F1" s="56"/>
      <c r="G1" s="56"/>
      <c r="I1" s="151" t="s">
        <v>35</v>
      </c>
      <c r="J1" s="152"/>
      <c r="K1" s="152"/>
      <c r="L1" s="152"/>
      <c r="M1" s="152"/>
      <c r="N1" s="152"/>
      <c r="O1" s="153"/>
      <c r="P1" s="151" t="s">
        <v>34</v>
      </c>
      <c r="Q1" s="152"/>
      <c r="R1" s="152"/>
      <c r="S1" s="152"/>
      <c r="T1" s="152"/>
      <c r="U1" s="152"/>
      <c r="V1" s="153"/>
      <c r="W1" s="151" t="s">
        <v>33</v>
      </c>
      <c r="X1" s="152"/>
      <c r="Y1" s="152"/>
      <c r="Z1" s="152"/>
      <c r="AA1" s="152"/>
      <c r="AB1" s="152"/>
      <c r="AC1" s="153"/>
      <c r="AD1" s="151" t="s">
        <v>32</v>
      </c>
      <c r="AE1" s="152"/>
      <c r="AF1" s="152"/>
      <c r="AG1" s="152"/>
      <c r="AH1" s="152"/>
      <c r="AI1" s="152"/>
      <c r="AJ1" s="153"/>
      <c r="AK1" s="151" t="s">
        <v>31</v>
      </c>
      <c r="AL1" s="152"/>
      <c r="AM1" s="152"/>
      <c r="AN1" s="152"/>
      <c r="AO1" s="152"/>
      <c r="AP1" s="152"/>
      <c r="AQ1" s="153"/>
      <c r="AR1" s="151" t="s">
        <v>30</v>
      </c>
      <c r="AS1" s="152"/>
      <c r="AT1" s="152"/>
      <c r="AU1" s="152"/>
      <c r="AV1" s="152"/>
      <c r="AW1" s="152"/>
      <c r="AX1" s="153"/>
      <c r="AY1" s="151" t="s">
        <v>29</v>
      </c>
      <c r="AZ1" s="152"/>
      <c r="BA1" s="152"/>
      <c r="BB1" s="152"/>
      <c r="BC1" s="152"/>
      <c r="BD1" s="152"/>
      <c r="BE1" s="153"/>
      <c r="BF1" s="151" t="s">
        <v>28</v>
      </c>
      <c r="BG1" s="152"/>
      <c r="BH1" s="152"/>
      <c r="BI1" s="152"/>
      <c r="BJ1" s="152"/>
      <c r="BK1" s="152"/>
      <c r="BL1" s="153"/>
      <c r="BM1" s="151" t="s">
        <v>27</v>
      </c>
      <c r="BN1" s="152"/>
      <c r="BO1" s="152"/>
      <c r="BP1" s="152"/>
      <c r="BQ1" s="152"/>
      <c r="BR1" s="152"/>
      <c r="BS1" s="153"/>
      <c r="BT1" s="151" t="s">
        <v>26</v>
      </c>
      <c r="BU1" s="152"/>
      <c r="BV1" s="152"/>
      <c r="BW1" s="152"/>
      <c r="BX1" s="152"/>
      <c r="BY1" s="152"/>
      <c r="BZ1" s="153"/>
      <c r="CA1" s="151" t="s">
        <v>24</v>
      </c>
      <c r="CB1" s="152"/>
      <c r="CC1" s="152"/>
      <c r="CD1" s="152"/>
      <c r="CE1" s="152"/>
      <c r="CF1" s="152"/>
      <c r="CG1" s="153"/>
      <c r="CH1" s="151" t="s">
        <v>22</v>
      </c>
      <c r="CI1" s="152"/>
      <c r="CJ1" s="152"/>
      <c r="CK1" s="152"/>
      <c r="CL1" s="152"/>
      <c r="CM1" s="152"/>
      <c r="CN1" s="153"/>
      <c r="CO1" s="151" t="s">
        <v>22</v>
      </c>
      <c r="CP1" s="152"/>
      <c r="CQ1" s="152"/>
      <c r="CR1" s="152"/>
      <c r="CS1" s="152"/>
      <c r="CT1" s="152"/>
      <c r="CU1" s="153"/>
      <c r="CV1" s="151" t="s">
        <v>22</v>
      </c>
      <c r="CW1" s="152"/>
      <c r="CX1" s="152"/>
      <c r="CY1" s="152"/>
      <c r="CZ1" s="152"/>
      <c r="DA1" s="152"/>
      <c r="DB1" s="153"/>
      <c r="DC1" s="151" t="s">
        <v>25</v>
      </c>
      <c r="DD1" s="152"/>
      <c r="DE1" s="152"/>
      <c r="DF1" s="152"/>
      <c r="DG1" s="152"/>
      <c r="DH1" s="152"/>
      <c r="DI1" s="153"/>
      <c r="DJ1" s="151" t="s">
        <v>23</v>
      </c>
      <c r="DK1" s="152"/>
      <c r="DL1" s="152"/>
      <c r="DM1" s="152"/>
      <c r="DN1" s="152"/>
      <c r="DO1" s="152"/>
      <c r="DP1" s="153"/>
      <c r="DQ1" s="151" t="s">
        <v>23</v>
      </c>
      <c r="DR1" s="152"/>
      <c r="DS1" s="152"/>
      <c r="DT1" s="152"/>
      <c r="DU1" s="152"/>
      <c r="DV1" s="152"/>
      <c r="DW1" s="153"/>
      <c r="DX1" s="151" t="s">
        <v>36</v>
      </c>
      <c r="DY1" s="152"/>
      <c r="DZ1" s="152"/>
      <c r="EA1" s="152"/>
      <c r="EB1" s="152"/>
      <c r="EC1" s="152"/>
      <c r="ED1" s="153"/>
      <c r="EE1" s="151" t="s">
        <v>37</v>
      </c>
      <c r="EF1" s="152"/>
      <c r="EG1" s="152"/>
      <c r="EH1" s="152"/>
      <c r="EI1" s="152"/>
      <c r="EJ1" s="152"/>
      <c r="EK1" s="153"/>
      <c r="EL1" s="151" t="s">
        <v>38</v>
      </c>
      <c r="EM1" s="152"/>
      <c r="EN1" s="152"/>
      <c r="EO1" s="152"/>
      <c r="EP1" s="152"/>
      <c r="EQ1" s="152"/>
      <c r="ER1" s="153"/>
      <c r="ES1" s="151" t="s">
        <v>39</v>
      </c>
      <c r="ET1" s="152"/>
      <c r="EU1" s="152"/>
      <c r="EV1" s="152"/>
      <c r="EW1" s="152"/>
      <c r="EX1" s="152"/>
      <c r="EY1" s="153"/>
      <c r="EZ1" s="151" t="s">
        <v>40</v>
      </c>
      <c r="FA1" s="152"/>
      <c r="FB1" s="152"/>
      <c r="FC1" s="152"/>
      <c r="FD1" s="152"/>
      <c r="FE1" s="152"/>
      <c r="FF1" s="153"/>
      <c r="FG1" s="151" t="s">
        <v>41</v>
      </c>
      <c r="FH1" s="152"/>
      <c r="FI1" s="152"/>
      <c r="FJ1" s="152"/>
      <c r="FK1" s="152"/>
      <c r="FL1" s="152"/>
      <c r="FM1" s="153"/>
      <c r="FN1" s="151" t="s">
        <v>42</v>
      </c>
      <c r="FO1" s="152"/>
      <c r="FP1" s="152"/>
      <c r="FQ1" s="152"/>
      <c r="FR1" s="152"/>
      <c r="FS1" s="152"/>
      <c r="FT1" s="153"/>
      <c r="FU1" s="151" t="s">
        <v>43</v>
      </c>
      <c r="FV1" s="152"/>
      <c r="FW1" s="152"/>
      <c r="FX1" s="152"/>
      <c r="FY1" s="152"/>
      <c r="FZ1" s="152"/>
      <c r="GA1" s="153"/>
      <c r="GB1" s="151" t="s">
        <v>44</v>
      </c>
      <c r="GC1" s="152"/>
      <c r="GD1" s="152"/>
      <c r="GE1" s="152"/>
      <c r="GF1" s="152"/>
      <c r="GG1" s="152"/>
      <c r="GH1" s="153"/>
      <c r="GI1" s="151" t="s">
        <v>44</v>
      </c>
      <c r="GJ1" s="152"/>
      <c r="GK1" s="152"/>
      <c r="GL1" s="152"/>
      <c r="GM1" s="152"/>
      <c r="GN1" s="152"/>
      <c r="GO1" s="153"/>
      <c r="GP1" s="151" t="s">
        <v>44</v>
      </c>
      <c r="GQ1" s="152"/>
      <c r="GR1" s="152"/>
      <c r="GS1" s="152"/>
      <c r="GT1" s="152"/>
      <c r="GU1" s="152"/>
      <c r="GV1" s="153"/>
      <c r="GW1" s="151" t="s">
        <v>45</v>
      </c>
      <c r="GX1" s="152"/>
      <c r="GY1" s="152"/>
      <c r="GZ1" s="152"/>
      <c r="HA1" s="152"/>
      <c r="HB1" s="152"/>
      <c r="HC1" s="153"/>
      <c r="HD1" s="151" t="s">
        <v>46</v>
      </c>
      <c r="HE1" s="152"/>
      <c r="HF1" s="152"/>
      <c r="HG1" s="152"/>
      <c r="HH1" s="152"/>
      <c r="HI1" s="152"/>
      <c r="HJ1" s="153"/>
      <c r="HK1" s="151" t="s">
        <v>102</v>
      </c>
      <c r="HL1" s="152"/>
      <c r="HM1" s="152"/>
      <c r="HN1" s="152"/>
      <c r="HO1" s="152"/>
      <c r="HP1" s="152"/>
      <c r="HQ1" s="153"/>
      <c r="HR1" s="151" t="s">
        <v>103</v>
      </c>
      <c r="HS1" s="152"/>
      <c r="HT1" s="152"/>
      <c r="HU1" s="152"/>
      <c r="HV1" s="152"/>
      <c r="HW1" s="152"/>
      <c r="HX1" s="153"/>
    </row>
    <row r="2" spans="1:232" ht="15" customHeight="1" x14ac:dyDescent="0.3">
      <c r="A2" s="28" t="s">
        <v>1</v>
      </c>
      <c r="B2" s="30"/>
      <c r="C2" s="30"/>
      <c r="D2" s="30"/>
      <c r="E2" s="30"/>
      <c r="F2" s="30"/>
      <c r="G2" s="30"/>
      <c r="I2" s="46">
        <v>45929</v>
      </c>
      <c r="J2" s="47">
        <f>I2+1</f>
        <v>45930</v>
      </c>
      <c r="K2" s="47">
        <v>45931</v>
      </c>
      <c r="L2" s="47">
        <f t="shared" ref="L2:AX2" si="0">K2+1</f>
        <v>45932</v>
      </c>
      <c r="M2" s="47">
        <f t="shared" si="0"/>
        <v>45933</v>
      </c>
      <c r="N2" s="47">
        <f t="shared" si="0"/>
        <v>45934</v>
      </c>
      <c r="O2" s="48">
        <f t="shared" si="0"/>
        <v>45935</v>
      </c>
      <c r="P2" s="46">
        <f>O2+1</f>
        <v>45936</v>
      </c>
      <c r="Q2" s="47">
        <f>P2+1</f>
        <v>45937</v>
      </c>
      <c r="R2" s="47">
        <f t="shared" si="0"/>
        <v>45938</v>
      </c>
      <c r="S2" s="47">
        <f t="shared" si="0"/>
        <v>45939</v>
      </c>
      <c r="T2" s="47">
        <f t="shared" si="0"/>
        <v>45940</v>
      </c>
      <c r="U2" s="47">
        <f t="shared" si="0"/>
        <v>45941</v>
      </c>
      <c r="V2" s="48">
        <f t="shared" si="0"/>
        <v>45942</v>
      </c>
      <c r="W2" s="46">
        <f>V2+1</f>
        <v>45943</v>
      </c>
      <c r="X2" s="47">
        <f>W2+1</f>
        <v>45944</v>
      </c>
      <c r="Y2" s="47">
        <f t="shared" si="0"/>
        <v>45945</v>
      </c>
      <c r="Z2" s="47">
        <f t="shared" si="0"/>
        <v>45946</v>
      </c>
      <c r="AA2" s="47">
        <f t="shared" si="0"/>
        <v>45947</v>
      </c>
      <c r="AB2" s="47">
        <f t="shared" si="0"/>
        <v>45948</v>
      </c>
      <c r="AC2" s="48">
        <f t="shared" si="0"/>
        <v>45949</v>
      </c>
      <c r="AD2" s="46">
        <f>AC2+1</f>
        <v>45950</v>
      </c>
      <c r="AE2" s="47">
        <f>AD2+1</f>
        <v>45951</v>
      </c>
      <c r="AF2" s="47">
        <f t="shared" si="0"/>
        <v>45952</v>
      </c>
      <c r="AG2" s="47">
        <f t="shared" si="0"/>
        <v>45953</v>
      </c>
      <c r="AH2" s="47">
        <f t="shared" si="0"/>
        <v>45954</v>
      </c>
      <c r="AI2" s="47">
        <f t="shared" si="0"/>
        <v>45955</v>
      </c>
      <c r="AJ2" s="48">
        <f t="shared" si="0"/>
        <v>45956</v>
      </c>
      <c r="AK2" s="46">
        <f>AJ2+1</f>
        <v>45957</v>
      </c>
      <c r="AL2" s="47">
        <f>AK2+1</f>
        <v>45958</v>
      </c>
      <c r="AM2" s="47">
        <f t="shared" si="0"/>
        <v>45959</v>
      </c>
      <c r="AN2" s="47">
        <f t="shared" si="0"/>
        <v>45960</v>
      </c>
      <c r="AO2" s="47">
        <f t="shared" si="0"/>
        <v>45961</v>
      </c>
      <c r="AP2" s="47">
        <f t="shared" si="0"/>
        <v>45962</v>
      </c>
      <c r="AQ2" s="48">
        <f t="shared" si="0"/>
        <v>45963</v>
      </c>
      <c r="AR2" s="46">
        <f>AQ2+1</f>
        <v>45964</v>
      </c>
      <c r="AS2" s="47">
        <f>AR2+1</f>
        <v>45965</v>
      </c>
      <c r="AT2" s="47">
        <f t="shared" si="0"/>
        <v>45966</v>
      </c>
      <c r="AU2" s="47">
        <f t="shared" si="0"/>
        <v>45967</v>
      </c>
      <c r="AV2" s="47">
        <f t="shared" si="0"/>
        <v>45968</v>
      </c>
      <c r="AW2" s="47">
        <f t="shared" si="0"/>
        <v>45969</v>
      </c>
      <c r="AX2" s="48">
        <f t="shared" si="0"/>
        <v>45970</v>
      </c>
      <c r="AY2" s="46">
        <f>AX2+1</f>
        <v>45971</v>
      </c>
      <c r="AZ2" s="47">
        <f>AY2+1</f>
        <v>45972</v>
      </c>
      <c r="BA2" s="47">
        <f t="shared" ref="BA2:BE2" si="1">AZ2+1</f>
        <v>45973</v>
      </c>
      <c r="BB2" s="47">
        <f t="shared" si="1"/>
        <v>45974</v>
      </c>
      <c r="BC2" s="47">
        <f t="shared" si="1"/>
        <v>45975</v>
      </c>
      <c r="BD2" s="47">
        <f t="shared" si="1"/>
        <v>45976</v>
      </c>
      <c r="BE2" s="48">
        <f t="shared" si="1"/>
        <v>45977</v>
      </c>
      <c r="BF2" s="46">
        <f>BE2+1</f>
        <v>45978</v>
      </c>
      <c r="BG2" s="47">
        <f>BF2+1</f>
        <v>45979</v>
      </c>
      <c r="BH2" s="47">
        <f t="shared" ref="BH2:BL2" si="2">BG2+1</f>
        <v>45980</v>
      </c>
      <c r="BI2" s="47">
        <f t="shared" si="2"/>
        <v>45981</v>
      </c>
      <c r="BJ2" s="47">
        <f t="shared" si="2"/>
        <v>45982</v>
      </c>
      <c r="BK2" s="47">
        <f t="shared" si="2"/>
        <v>45983</v>
      </c>
      <c r="BL2" s="48">
        <f t="shared" si="2"/>
        <v>45984</v>
      </c>
      <c r="BM2" s="46">
        <v>24</v>
      </c>
      <c r="BN2" s="47">
        <f>BM2+1</f>
        <v>25</v>
      </c>
      <c r="BO2" s="47">
        <f t="shared" ref="BO2" si="3">BN2+1</f>
        <v>26</v>
      </c>
      <c r="BP2" s="47">
        <f t="shared" ref="BP2" si="4">BO2+1</f>
        <v>27</v>
      </c>
      <c r="BQ2" s="47">
        <f t="shared" ref="BQ2" si="5">BP2+1</f>
        <v>28</v>
      </c>
      <c r="BR2" s="47">
        <f t="shared" ref="BR2" si="6">BQ2+1</f>
        <v>29</v>
      </c>
      <c r="BS2" s="48">
        <f t="shared" ref="BS2" si="7">BR2+1</f>
        <v>30</v>
      </c>
      <c r="BT2" s="46">
        <v>45992</v>
      </c>
      <c r="BU2" s="47">
        <f>BT2+1</f>
        <v>45993</v>
      </c>
      <c r="BV2" s="47">
        <f t="shared" ref="BV2" si="8">BU2+1</f>
        <v>45994</v>
      </c>
      <c r="BW2" s="47">
        <f t="shared" ref="BW2" si="9">BV2+1</f>
        <v>45995</v>
      </c>
      <c r="BX2" s="47">
        <f t="shared" ref="BX2" si="10">BW2+1</f>
        <v>45996</v>
      </c>
      <c r="BY2" s="47">
        <f t="shared" ref="BY2" si="11">BX2+1</f>
        <v>45997</v>
      </c>
      <c r="BZ2" s="48">
        <f t="shared" ref="BZ2" si="12">BY2+1</f>
        <v>45998</v>
      </c>
      <c r="CA2" s="46">
        <f>BZ2+1</f>
        <v>45999</v>
      </c>
      <c r="CB2" s="47">
        <f>CA2+1</f>
        <v>46000</v>
      </c>
      <c r="CC2" s="47">
        <f t="shared" ref="CC2" si="13">CB2+1</f>
        <v>46001</v>
      </c>
      <c r="CD2" s="47">
        <f t="shared" ref="CD2" si="14">CC2+1</f>
        <v>46002</v>
      </c>
      <c r="CE2" s="47">
        <f t="shared" ref="CE2" si="15">CD2+1</f>
        <v>46003</v>
      </c>
      <c r="CF2" s="47">
        <f t="shared" ref="CF2" si="16">CE2+1</f>
        <v>46004</v>
      </c>
      <c r="CG2" s="48">
        <f t="shared" ref="CG2" si="17">CF2+1</f>
        <v>46005</v>
      </c>
      <c r="CH2" s="46">
        <f>CG2+1</f>
        <v>46006</v>
      </c>
      <c r="CI2" s="47">
        <f>CH2+1</f>
        <v>46007</v>
      </c>
      <c r="CJ2" s="47">
        <f t="shared" ref="CJ2" si="18">CI2+1</f>
        <v>46008</v>
      </c>
      <c r="CK2" s="47">
        <f t="shared" ref="CK2" si="19">CJ2+1</f>
        <v>46009</v>
      </c>
      <c r="CL2" s="47">
        <f t="shared" ref="CL2" si="20">CK2+1</f>
        <v>46010</v>
      </c>
      <c r="CM2" s="47">
        <f t="shared" ref="CM2" si="21">CL2+1</f>
        <v>46011</v>
      </c>
      <c r="CN2" s="48">
        <f t="shared" ref="CN2" si="22">CM2+1</f>
        <v>46012</v>
      </c>
      <c r="CO2" s="46">
        <f>CN2+1</f>
        <v>46013</v>
      </c>
      <c r="CP2" s="47">
        <f>CO2+1</f>
        <v>46014</v>
      </c>
      <c r="CQ2" s="47">
        <f t="shared" ref="CQ2" si="23">CP2+1</f>
        <v>46015</v>
      </c>
      <c r="CR2" s="47">
        <f t="shared" ref="CR2" si="24">CQ2+1</f>
        <v>46016</v>
      </c>
      <c r="CS2" s="47">
        <f t="shared" ref="CS2" si="25">CR2+1</f>
        <v>46017</v>
      </c>
      <c r="CT2" s="47">
        <f t="shared" ref="CT2" si="26">CS2+1</f>
        <v>46018</v>
      </c>
      <c r="CU2" s="48">
        <f t="shared" ref="CU2" si="27">CT2+1</f>
        <v>46019</v>
      </c>
      <c r="CV2" s="46">
        <f>CU2+1</f>
        <v>46020</v>
      </c>
      <c r="CW2" s="47">
        <f>CV2+1</f>
        <v>46021</v>
      </c>
      <c r="CX2" s="47">
        <f t="shared" ref="CX2" si="28">CW2+1</f>
        <v>46022</v>
      </c>
      <c r="CY2" s="47">
        <f t="shared" ref="CY2" si="29">CX2+1</f>
        <v>46023</v>
      </c>
      <c r="CZ2" s="47">
        <f t="shared" ref="CZ2" si="30">CY2+1</f>
        <v>46024</v>
      </c>
      <c r="DA2" s="47">
        <f t="shared" ref="DA2" si="31">CZ2+1</f>
        <v>46025</v>
      </c>
      <c r="DB2" s="48">
        <f t="shared" ref="DB2" si="32">DA2+1</f>
        <v>46026</v>
      </c>
      <c r="DC2" s="46">
        <f>DB2+1</f>
        <v>46027</v>
      </c>
      <c r="DD2" s="47">
        <f>DC2+1</f>
        <v>46028</v>
      </c>
      <c r="DE2" s="47">
        <f t="shared" ref="DE2" si="33">DD2+1</f>
        <v>46029</v>
      </c>
      <c r="DF2" s="47">
        <f t="shared" ref="DF2" si="34">DE2+1</f>
        <v>46030</v>
      </c>
      <c r="DG2" s="47">
        <f t="shared" ref="DG2" si="35">DF2+1</f>
        <v>46031</v>
      </c>
      <c r="DH2" s="47">
        <f t="shared" ref="DH2" si="36">DG2+1</f>
        <v>46032</v>
      </c>
      <c r="DI2" s="48">
        <f t="shared" ref="DI2" si="37">DH2+1</f>
        <v>46033</v>
      </c>
      <c r="DJ2" s="46">
        <f>DI2+1</f>
        <v>46034</v>
      </c>
      <c r="DK2" s="47">
        <f>DJ2+1</f>
        <v>46035</v>
      </c>
      <c r="DL2" s="47">
        <f t="shared" ref="DL2" si="38">DK2+1</f>
        <v>46036</v>
      </c>
      <c r="DM2" s="47">
        <f t="shared" ref="DM2" si="39">DL2+1</f>
        <v>46037</v>
      </c>
      <c r="DN2" s="47">
        <f t="shared" ref="DN2" si="40">DM2+1</f>
        <v>46038</v>
      </c>
      <c r="DO2" s="47">
        <f t="shared" ref="DO2" si="41">DN2+1</f>
        <v>46039</v>
      </c>
      <c r="DP2" s="48">
        <f t="shared" ref="DP2" si="42">DO2+1</f>
        <v>46040</v>
      </c>
      <c r="DQ2" s="46">
        <v>19</v>
      </c>
      <c r="DR2" s="47">
        <f>DQ2+1</f>
        <v>20</v>
      </c>
      <c r="DS2" s="47">
        <f t="shared" ref="DS2" si="43">DR2+1</f>
        <v>21</v>
      </c>
      <c r="DT2" s="47">
        <f t="shared" ref="DT2" si="44">DS2+1</f>
        <v>22</v>
      </c>
      <c r="DU2" s="47">
        <f t="shared" ref="DU2" si="45">DT2+1</f>
        <v>23</v>
      </c>
      <c r="DV2" s="47">
        <f t="shared" ref="DV2" si="46">DU2+1</f>
        <v>24</v>
      </c>
      <c r="DW2" s="48">
        <f t="shared" ref="DW2" si="47">DV2+1</f>
        <v>25</v>
      </c>
      <c r="DX2" s="46">
        <f>DW2+1</f>
        <v>26</v>
      </c>
      <c r="DY2" s="47">
        <f>DX2+1</f>
        <v>27</v>
      </c>
      <c r="DZ2" s="47">
        <f t="shared" ref="DZ2" si="48">DY2+1</f>
        <v>28</v>
      </c>
      <c r="EA2" s="47">
        <f t="shared" ref="EA2" si="49">DZ2+1</f>
        <v>29</v>
      </c>
      <c r="EB2" s="47">
        <f t="shared" ref="EB2" si="50">EA2+1</f>
        <v>30</v>
      </c>
      <c r="EC2" s="47">
        <f t="shared" ref="EC2" si="51">EB2+1</f>
        <v>31</v>
      </c>
      <c r="ED2" s="48">
        <f t="shared" ref="ED2" si="52">EC2+1</f>
        <v>32</v>
      </c>
      <c r="EE2" s="46">
        <f>ED2+1</f>
        <v>33</v>
      </c>
      <c r="EF2" s="47">
        <f>EE2+1</f>
        <v>34</v>
      </c>
      <c r="EG2" s="47">
        <f t="shared" ref="EG2" si="53">EF2+1</f>
        <v>35</v>
      </c>
      <c r="EH2" s="47">
        <f t="shared" ref="EH2" si="54">EG2+1</f>
        <v>36</v>
      </c>
      <c r="EI2" s="47">
        <f t="shared" ref="EI2" si="55">EH2+1</f>
        <v>37</v>
      </c>
      <c r="EJ2" s="47">
        <f t="shared" ref="EJ2" si="56">EI2+1</f>
        <v>38</v>
      </c>
      <c r="EK2" s="48">
        <f t="shared" ref="EK2" si="57">EJ2+1</f>
        <v>39</v>
      </c>
      <c r="EL2" s="46">
        <f>EK2+1</f>
        <v>40</v>
      </c>
      <c r="EM2" s="47">
        <f>EL2+1</f>
        <v>41</v>
      </c>
      <c r="EN2" s="47">
        <f t="shared" ref="EN2" si="58">EM2+1</f>
        <v>42</v>
      </c>
      <c r="EO2" s="47">
        <f t="shared" ref="EO2" si="59">EN2+1</f>
        <v>43</v>
      </c>
      <c r="EP2" s="47">
        <f t="shared" ref="EP2" si="60">EO2+1</f>
        <v>44</v>
      </c>
      <c r="EQ2" s="47">
        <f t="shared" ref="EQ2" si="61">EP2+1</f>
        <v>45</v>
      </c>
      <c r="ER2" s="48">
        <f t="shared" ref="ER2" si="62">EQ2+1</f>
        <v>46</v>
      </c>
      <c r="ES2" s="46">
        <f>ER2+1</f>
        <v>47</v>
      </c>
      <c r="ET2" s="47">
        <f>ES2+1</f>
        <v>48</v>
      </c>
      <c r="EU2" s="47">
        <f t="shared" ref="EU2" si="63">ET2+1</f>
        <v>49</v>
      </c>
      <c r="EV2" s="47">
        <f t="shared" ref="EV2" si="64">EU2+1</f>
        <v>50</v>
      </c>
      <c r="EW2" s="47">
        <f t="shared" ref="EW2" si="65">EV2+1</f>
        <v>51</v>
      </c>
      <c r="EX2" s="47">
        <f t="shared" ref="EX2" si="66">EW2+1</f>
        <v>52</v>
      </c>
      <c r="EY2" s="48">
        <f t="shared" ref="EY2" si="67">EX2+1</f>
        <v>53</v>
      </c>
      <c r="EZ2" s="46">
        <f>EY2+1</f>
        <v>54</v>
      </c>
      <c r="FA2" s="47">
        <f>EZ2+1</f>
        <v>55</v>
      </c>
      <c r="FB2" s="47">
        <f t="shared" ref="FB2" si="68">FA2+1</f>
        <v>56</v>
      </c>
      <c r="FC2" s="47">
        <f t="shared" ref="FC2" si="69">FB2+1</f>
        <v>57</v>
      </c>
      <c r="FD2" s="47">
        <f t="shared" ref="FD2" si="70">FC2+1</f>
        <v>58</v>
      </c>
      <c r="FE2" s="47">
        <f t="shared" ref="FE2" si="71">FD2+1</f>
        <v>59</v>
      </c>
      <c r="FF2" s="48">
        <v>1</v>
      </c>
      <c r="FG2" s="46">
        <f>FF2+1</f>
        <v>2</v>
      </c>
      <c r="FH2" s="47">
        <f>FG2+1</f>
        <v>3</v>
      </c>
      <c r="FI2" s="47">
        <f t="shared" ref="FI2" si="72">FH2+1</f>
        <v>4</v>
      </c>
      <c r="FJ2" s="47">
        <f t="shared" ref="FJ2" si="73">FI2+1</f>
        <v>5</v>
      </c>
      <c r="FK2" s="47">
        <f t="shared" ref="FK2" si="74">FJ2+1</f>
        <v>6</v>
      </c>
      <c r="FL2" s="47">
        <f t="shared" ref="FL2" si="75">FK2+1</f>
        <v>7</v>
      </c>
      <c r="FM2" s="48">
        <f t="shared" ref="FM2" si="76">FL2+1</f>
        <v>8</v>
      </c>
      <c r="FN2" s="46">
        <f>FM2+1</f>
        <v>9</v>
      </c>
      <c r="FO2" s="47">
        <f>FN2+1</f>
        <v>10</v>
      </c>
      <c r="FP2" s="47">
        <f t="shared" ref="FP2" si="77">FO2+1</f>
        <v>11</v>
      </c>
      <c r="FQ2" s="47">
        <f t="shared" ref="FQ2" si="78">FP2+1</f>
        <v>12</v>
      </c>
      <c r="FR2" s="47">
        <f t="shared" ref="FR2" si="79">FQ2+1</f>
        <v>13</v>
      </c>
      <c r="FS2" s="47">
        <f t="shared" ref="FS2" si="80">FR2+1</f>
        <v>14</v>
      </c>
      <c r="FT2" s="48">
        <f t="shared" ref="FT2" si="81">FS2+1</f>
        <v>15</v>
      </c>
      <c r="FU2" s="46">
        <v>16</v>
      </c>
      <c r="FV2" s="47">
        <f>FU2+1</f>
        <v>17</v>
      </c>
      <c r="FW2" s="47">
        <f t="shared" ref="FW2" si="82">FV2+1</f>
        <v>18</v>
      </c>
      <c r="FX2" s="47">
        <f t="shared" ref="FX2" si="83">FW2+1</f>
        <v>19</v>
      </c>
      <c r="FY2" s="47">
        <f t="shared" ref="FY2" si="84">FX2+1</f>
        <v>20</v>
      </c>
      <c r="FZ2" s="47">
        <f t="shared" ref="FZ2" si="85">FY2+1</f>
        <v>21</v>
      </c>
      <c r="GA2" s="48">
        <f t="shared" ref="GA2" si="86">FZ2+1</f>
        <v>22</v>
      </c>
      <c r="GB2" s="46">
        <f>GA2+1</f>
        <v>23</v>
      </c>
      <c r="GC2" s="47">
        <f>GB2+1</f>
        <v>24</v>
      </c>
      <c r="GD2" s="47">
        <f t="shared" ref="GD2" si="87">GC2+1</f>
        <v>25</v>
      </c>
      <c r="GE2" s="47">
        <f t="shared" ref="GE2" si="88">GD2+1</f>
        <v>26</v>
      </c>
      <c r="GF2" s="47">
        <f t="shared" ref="GF2" si="89">GE2+1</f>
        <v>27</v>
      </c>
      <c r="GG2" s="47">
        <f t="shared" ref="GG2" si="90">GF2+1</f>
        <v>28</v>
      </c>
      <c r="GH2" s="48">
        <f t="shared" ref="GH2" si="91">GG2+1</f>
        <v>29</v>
      </c>
      <c r="GI2" s="46">
        <f>GH2+1</f>
        <v>30</v>
      </c>
      <c r="GJ2" s="47">
        <f>GI2+1</f>
        <v>31</v>
      </c>
      <c r="GK2" s="47">
        <f t="shared" ref="GK2" si="92">GJ2+1</f>
        <v>32</v>
      </c>
      <c r="GL2" s="47">
        <f t="shared" ref="GL2" si="93">GK2+1</f>
        <v>33</v>
      </c>
      <c r="GM2" s="47">
        <f t="shared" ref="GM2" si="94">GL2+1</f>
        <v>34</v>
      </c>
      <c r="GN2" s="47">
        <f t="shared" ref="GN2" si="95">GM2+1</f>
        <v>35</v>
      </c>
      <c r="GO2" s="48">
        <f t="shared" ref="GO2" si="96">GN2+1</f>
        <v>36</v>
      </c>
      <c r="GP2" s="46">
        <f>GO2+1</f>
        <v>37</v>
      </c>
      <c r="GQ2" s="47">
        <f>GP2+1</f>
        <v>38</v>
      </c>
      <c r="GR2" s="47">
        <f t="shared" ref="GR2" si="97">GQ2+1</f>
        <v>39</v>
      </c>
      <c r="GS2" s="47">
        <f t="shared" ref="GS2" si="98">GR2+1</f>
        <v>40</v>
      </c>
      <c r="GT2" s="47">
        <f t="shared" ref="GT2" si="99">GS2+1</f>
        <v>41</v>
      </c>
      <c r="GU2" s="47">
        <f t="shared" ref="GU2" si="100">GT2+1</f>
        <v>42</v>
      </c>
      <c r="GV2" s="48">
        <f t="shared" ref="GV2" si="101">GU2+1</f>
        <v>43</v>
      </c>
      <c r="GW2" s="46">
        <f>GV2+1</f>
        <v>44</v>
      </c>
      <c r="GX2" s="47">
        <f>GW2+1</f>
        <v>45</v>
      </c>
      <c r="GY2" s="47">
        <f t="shared" ref="GY2" si="102">GX2+1</f>
        <v>46</v>
      </c>
      <c r="GZ2" s="47">
        <f t="shared" ref="GZ2" si="103">GY2+1</f>
        <v>47</v>
      </c>
      <c r="HA2" s="47">
        <f t="shared" ref="HA2" si="104">GZ2+1</f>
        <v>48</v>
      </c>
      <c r="HB2" s="47">
        <f t="shared" ref="HB2" si="105">HA2+1</f>
        <v>49</v>
      </c>
      <c r="HC2" s="48">
        <f t="shared" ref="HC2" si="106">HB2+1</f>
        <v>50</v>
      </c>
      <c r="HD2" s="46">
        <f>HC2+1</f>
        <v>51</v>
      </c>
      <c r="HE2" s="47">
        <f>HD2+1</f>
        <v>52</v>
      </c>
      <c r="HF2" s="47">
        <f t="shared" ref="HF2" si="107">HE2+1</f>
        <v>53</v>
      </c>
      <c r="HG2" s="47">
        <f t="shared" ref="HG2" si="108">HF2+1</f>
        <v>54</v>
      </c>
      <c r="HH2" s="47">
        <f t="shared" ref="HH2" si="109">HG2+1</f>
        <v>55</v>
      </c>
      <c r="HI2" s="47">
        <f t="shared" ref="HI2" si="110">HH2+1</f>
        <v>56</v>
      </c>
      <c r="HJ2" s="48">
        <f t="shared" ref="HJ2" si="111">HI2+1</f>
        <v>57</v>
      </c>
      <c r="HK2" s="46">
        <f>HJ2+1</f>
        <v>58</v>
      </c>
      <c r="HL2" s="47">
        <f>HK2+1</f>
        <v>59</v>
      </c>
      <c r="HM2" s="47">
        <f t="shared" ref="HM2" si="112">HL2+1</f>
        <v>60</v>
      </c>
      <c r="HN2" s="47">
        <v>30</v>
      </c>
      <c r="HO2" s="47">
        <v>1</v>
      </c>
      <c r="HP2" s="47">
        <f t="shared" ref="HP2" si="113">HO2+1</f>
        <v>2</v>
      </c>
      <c r="HQ2" s="48">
        <f t="shared" ref="HQ2" si="114">HP2+1</f>
        <v>3</v>
      </c>
      <c r="HR2" s="46">
        <f>HQ2+1</f>
        <v>4</v>
      </c>
      <c r="HS2" s="47">
        <f>HR2+1</f>
        <v>5</v>
      </c>
      <c r="HT2" s="47">
        <f t="shared" ref="HT2" si="115">HS2+1</f>
        <v>6</v>
      </c>
      <c r="HU2" s="47">
        <f t="shared" ref="HU2" si="116">HT2+1</f>
        <v>7</v>
      </c>
      <c r="HV2" s="47">
        <f t="shared" ref="HV2" si="117">HU2+1</f>
        <v>8</v>
      </c>
      <c r="HW2" s="47">
        <f t="shared" ref="HW2" si="118">HV2+1</f>
        <v>9</v>
      </c>
      <c r="HX2" s="48">
        <f t="shared" ref="HX2" si="119">HW2+1</f>
        <v>10</v>
      </c>
    </row>
    <row r="3" spans="1:232" ht="30" customHeight="1" thickBot="1" x14ac:dyDescent="0.35">
      <c r="A3" s="28" t="s">
        <v>2</v>
      </c>
      <c r="B3" s="4" t="s">
        <v>11</v>
      </c>
      <c r="C3" s="5" t="s">
        <v>13</v>
      </c>
      <c r="D3" s="5" t="s">
        <v>14</v>
      </c>
      <c r="E3" s="5" t="s">
        <v>15</v>
      </c>
      <c r="F3" s="5" t="s">
        <v>90</v>
      </c>
      <c r="G3" s="5" t="s">
        <v>91</v>
      </c>
      <c r="H3" s="5" t="s">
        <v>16</v>
      </c>
      <c r="I3" s="6" t="s">
        <v>17</v>
      </c>
      <c r="J3" s="6" t="s">
        <v>18</v>
      </c>
      <c r="K3" s="6" t="s">
        <v>19</v>
      </c>
      <c r="L3" s="6" t="s">
        <v>18</v>
      </c>
      <c r="M3" s="6" t="s">
        <v>20</v>
      </c>
      <c r="N3" s="6" t="s">
        <v>21</v>
      </c>
      <c r="O3" s="6" t="s">
        <v>21</v>
      </c>
      <c r="P3" s="6" t="s">
        <v>17</v>
      </c>
      <c r="Q3" s="6" t="s">
        <v>18</v>
      </c>
      <c r="R3" s="6" t="s">
        <v>19</v>
      </c>
      <c r="S3" s="6" t="s">
        <v>18</v>
      </c>
      <c r="T3" s="6" t="s">
        <v>20</v>
      </c>
      <c r="U3" s="6" t="s">
        <v>21</v>
      </c>
      <c r="V3" s="6" t="s">
        <v>21</v>
      </c>
      <c r="W3" s="6" t="s">
        <v>17</v>
      </c>
      <c r="X3" s="6" t="s">
        <v>18</v>
      </c>
      <c r="Y3" s="6" t="s">
        <v>19</v>
      </c>
      <c r="Z3" s="6" t="s">
        <v>18</v>
      </c>
      <c r="AA3" s="6" t="s">
        <v>20</v>
      </c>
      <c r="AB3" s="6" t="s">
        <v>21</v>
      </c>
      <c r="AC3" s="6" t="s">
        <v>21</v>
      </c>
      <c r="AD3" s="6" t="s">
        <v>17</v>
      </c>
      <c r="AE3" s="6" t="s">
        <v>18</v>
      </c>
      <c r="AF3" s="6" t="s">
        <v>19</v>
      </c>
      <c r="AG3" s="6" t="s">
        <v>18</v>
      </c>
      <c r="AH3" s="6" t="s">
        <v>20</v>
      </c>
      <c r="AI3" s="6" t="s">
        <v>21</v>
      </c>
      <c r="AJ3" s="6" t="s">
        <v>21</v>
      </c>
      <c r="AK3" s="6" t="s">
        <v>17</v>
      </c>
      <c r="AL3" s="6" t="s">
        <v>18</v>
      </c>
      <c r="AM3" s="6" t="s">
        <v>19</v>
      </c>
      <c r="AN3" s="6" t="s">
        <v>18</v>
      </c>
      <c r="AO3" s="6" t="s">
        <v>20</v>
      </c>
      <c r="AP3" s="6" t="s">
        <v>21</v>
      </c>
      <c r="AQ3" s="6" t="s">
        <v>21</v>
      </c>
      <c r="AR3" s="6" t="s">
        <v>17</v>
      </c>
      <c r="AS3" s="6" t="s">
        <v>18</v>
      </c>
      <c r="AT3" s="6" t="s">
        <v>19</v>
      </c>
      <c r="AU3" s="6" t="s">
        <v>18</v>
      </c>
      <c r="AV3" s="6" t="s">
        <v>20</v>
      </c>
      <c r="AW3" s="6" t="s">
        <v>21</v>
      </c>
      <c r="AX3" s="6" t="s">
        <v>21</v>
      </c>
      <c r="AY3" s="6" t="s">
        <v>17</v>
      </c>
      <c r="AZ3" s="6" t="s">
        <v>18</v>
      </c>
      <c r="BA3" s="6" t="s">
        <v>19</v>
      </c>
      <c r="BB3" s="6" t="s">
        <v>18</v>
      </c>
      <c r="BC3" s="6" t="s">
        <v>20</v>
      </c>
      <c r="BD3" s="6" t="s">
        <v>21</v>
      </c>
      <c r="BE3" s="6" t="s">
        <v>21</v>
      </c>
      <c r="BF3" s="6" t="s">
        <v>17</v>
      </c>
      <c r="BG3" s="6" t="s">
        <v>18</v>
      </c>
      <c r="BH3" s="6" t="s">
        <v>19</v>
      </c>
      <c r="BI3" s="6" t="s">
        <v>18</v>
      </c>
      <c r="BJ3" s="6" t="s">
        <v>20</v>
      </c>
      <c r="BK3" s="6" t="s">
        <v>21</v>
      </c>
      <c r="BL3" s="6" t="s">
        <v>21</v>
      </c>
      <c r="BM3" s="6" t="s">
        <v>17</v>
      </c>
      <c r="BN3" s="6" t="s">
        <v>18</v>
      </c>
      <c r="BO3" s="6" t="s">
        <v>19</v>
      </c>
      <c r="BP3" s="6" t="s">
        <v>18</v>
      </c>
      <c r="BQ3" s="6" t="s">
        <v>20</v>
      </c>
      <c r="BR3" s="6" t="s">
        <v>21</v>
      </c>
      <c r="BS3" s="6" t="s">
        <v>21</v>
      </c>
      <c r="BT3" s="6" t="s">
        <v>17</v>
      </c>
      <c r="BU3" s="6" t="s">
        <v>18</v>
      </c>
      <c r="BV3" s="6" t="s">
        <v>19</v>
      </c>
      <c r="BW3" s="6" t="s">
        <v>18</v>
      </c>
      <c r="BX3" s="6" t="s">
        <v>20</v>
      </c>
      <c r="BY3" s="6" t="s">
        <v>21</v>
      </c>
      <c r="BZ3" s="6" t="s">
        <v>21</v>
      </c>
      <c r="CA3" s="6" t="s">
        <v>17</v>
      </c>
      <c r="CB3" s="6" t="s">
        <v>18</v>
      </c>
      <c r="CC3" s="6" t="s">
        <v>19</v>
      </c>
      <c r="CD3" s="6" t="s">
        <v>18</v>
      </c>
      <c r="CE3" s="6" t="s">
        <v>20</v>
      </c>
      <c r="CF3" s="6" t="s">
        <v>21</v>
      </c>
      <c r="CG3" s="6" t="s">
        <v>21</v>
      </c>
      <c r="CH3" s="6" t="s">
        <v>17</v>
      </c>
      <c r="CI3" s="6" t="s">
        <v>18</v>
      </c>
      <c r="CJ3" s="6" t="s">
        <v>19</v>
      </c>
      <c r="CK3" s="6" t="s">
        <v>18</v>
      </c>
      <c r="CL3" s="6" t="s">
        <v>20</v>
      </c>
      <c r="CM3" s="6" t="s">
        <v>21</v>
      </c>
      <c r="CN3" s="6" t="s">
        <v>21</v>
      </c>
      <c r="CO3" s="6" t="s">
        <v>17</v>
      </c>
      <c r="CP3" s="6" t="s">
        <v>18</v>
      </c>
      <c r="CQ3" s="6" t="s">
        <v>19</v>
      </c>
      <c r="CR3" s="6" t="s">
        <v>18</v>
      </c>
      <c r="CS3" s="6" t="s">
        <v>20</v>
      </c>
      <c r="CT3" s="6" t="s">
        <v>21</v>
      </c>
      <c r="CU3" s="6" t="s">
        <v>21</v>
      </c>
      <c r="CV3" s="6" t="s">
        <v>17</v>
      </c>
      <c r="CW3" s="6" t="s">
        <v>18</v>
      </c>
      <c r="CX3" s="6" t="s">
        <v>19</v>
      </c>
      <c r="CY3" s="6" t="s">
        <v>18</v>
      </c>
      <c r="CZ3" s="6" t="s">
        <v>20</v>
      </c>
      <c r="DA3" s="6" t="s">
        <v>21</v>
      </c>
      <c r="DB3" s="6" t="s">
        <v>21</v>
      </c>
      <c r="DC3" s="6" t="s">
        <v>17</v>
      </c>
      <c r="DD3" s="6" t="s">
        <v>18</v>
      </c>
      <c r="DE3" s="6" t="s">
        <v>19</v>
      </c>
      <c r="DF3" s="6" t="s">
        <v>18</v>
      </c>
      <c r="DG3" s="6" t="s">
        <v>20</v>
      </c>
      <c r="DH3" s="6" t="s">
        <v>21</v>
      </c>
      <c r="DI3" s="6" t="s">
        <v>21</v>
      </c>
      <c r="DJ3" s="6" t="s">
        <v>17</v>
      </c>
      <c r="DK3" s="6" t="s">
        <v>18</v>
      </c>
      <c r="DL3" s="6" t="s">
        <v>19</v>
      </c>
      <c r="DM3" s="6" t="s">
        <v>18</v>
      </c>
      <c r="DN3" s="6" t="s">
        <v>20</v>
      </c>
      <c r="DO3" s="6" t="s">
        <v>21</v>
      </c>
      <c r="DP3" s="6" t="s">
        <v>21</v>
      </c>
      <c r="DQ3" s="6" t="s">
        <v>17</v>
      </c>
      <c r="DR3" s="6" t="s">
        <v>18</v>
      </c>
      <c r="DS3" s="6" t="s">
        <v>19</v>
      </c>
      <c r="DT3" s="6" t="s">
        <v>18</v>
      </c>
      <c r="DU3" s="6" t="s">
        <v>20</v>
      </c>
      <c r="DV3" s="6" t="s">
        <v>21</v>
      </c>
      <c r="DW3" s="6" t="s">
        <v>21</v>
      </c>
      <c r="DX3" s="6" t="s">
        <v>17</v>
      </c>
      <c r="DY3" s="6" t="s">
        <v>18</v>
      </c>
      <c r="DZ3" s="6" t="s">
        <v>19</v>
      </c>
      <c r="EA3" s="6" t="s">
        <v>18</v>
      </c>
      <c r="EB3" s="6" t="s">
        <v>20</v>
      </c>
      <c r="EC3" s="6" t="s">
        <v>21</v>
      </c>
      <c r="ED3" s="6" t="s">
        <v>21</v>
      </c>
      <c r="EE3" s="6" t="s">
        <v>17</v>
      </c>
      <c r="EF3" s="6" t="s">
        <v>18</v>
      </c>
      <c r="EG3" s="6" t="s">
        <v>19</v>
      </c>
      <c r="EH3" s="6" t="s">
        <v>18</v>
      </c>
      <c r="EI3" s="6" t="s">
        <v>20</v>
      </c>
      <c r="EJ3" s="6" t="s">
        <v>21</v>
      </c>
      <c r="EK3" s="6" t="s">
        <v>21</v>
      </c>
      <c r="EL3" s="6" t="s">
        <v>17</v>
      </c>
      <c r="EM3" s="6" t="s">
        <v>18</v>
      </c>
      <c r="EN3" s="6" t="s">
        <v>19</v>
      </c>
      <c r="EO3" s="6" t="s">
        <v>18</v>
      </c>
      <c r="EP3" s="6" t="s">
        <v>20</v>
      </c>
      <c r="EQ3" s="6" t="s">
        <v>21</v>
      </c>
      <c r="ER3" s="6" t="s">
        <v>21</v>
      </c>
      <c r="ES3" s="6" t="s">
        <v>17</v>
      </c>
      <c r="ET3" s="6" t="s">
        <v>18</v>
      </c>
      <c r="EU3" s="6" t="s">
        <v>19</v>
      </c>
      <c r="EV3" s="6" t="s">
        <v>18</v>
      </c>
      <c r="EW3" s="6" t="s">
        <v>20</v>
      </c>
      <c r="EX3" s="6" t="s">
        <v>21</v>
      </c>
      <c r="EY3" s="6" t="s">
        <v>21</v>
      </c>
      <c r="EZ3" s="6" t="s">
        <v>17</v>
      </c>
      <c r="FA3" s="6" t="s">
        <v>18</v>
      </c>
      <c r="FB3" s="6" t="s">
        <v>19</v>
      </c>
      <c r="FC3" s="6" t="s">
        <v>18</v>
      </c>
      <c r="FD3" s="6" t="s">
        <v>20</v>
      </c>
      <c r="FE3" s="6" t="s">
        <v>21</v>
      </c>
      <c r="FF3" s="6" t="s">
        <v>21</v>
      </c>
      <c r="FG3" s="6" t="s">
        <v>17</v>
      </c>
      <c r="FH3" s="6" t="s">
        <v>18</v>
      </c>
      <c r="FI3" s="6" t="s">
        <v>19</v>
      </c>
      <c r="FJ3" s="6" t="s">
        <v>18</v>
      </c>
      <c r="FK3" s="6" t="s">
        <v>20</v>
      </c>
      <c r="FL3" s="6" t="s">
        <v>21</v>
      </c>
      <c r="FM3" s="6" t="str">
        <f t="shared" ref="FM3" si="120">LEFT(TEXT(FM2,"ddd"),1)</f>
        <v>S</v>
      </c>
      <c r="FN3" s="6" t="s">
        <v>17</v>
      </c>
      <c r="FO3" s="6" t="s">
        <v>18</v>
      </c>
      <c r="FP3" s="6" t="s">
        <v>19</v>
      </c>
      <c r="FQ3" s="6" t="s">
        <v>18</v>
      </c>
      <c r="FR3" s="6" t="s">
        <v>20</v>
      </c>
      <c r="FS3" s="6" t="s">
        <v>21</v>
      </c>
      <c r="FT3" s="6" t="s">
        <v>21</v>
      </c>
      <c r="FU3" s="6" t="s">
        <v>17</v>
      </c>
      <c r="FV3" s="6" t="s">
        <v>18</v>
      </c>
      <c r="FW3" s="6" t="s">
        <v>19</v>
      </c>
      <c r="FX3" s="6" t="s">
        <v>18</v>
      </c>
      <c r="FY3" s="6" t="s">
        <v>20</v>
      </c>
      <c r="FZ3" s="6" t="s">
        <v>21</v>
      </c>
      <c r="GA3" s="6" t="s">
        <v>21</v>
      </c>
      <c r="GB3" s="6" t="s">
        <v>17</v>
      </c>
      <c r="GC3" s="6" t="s">
        <v>18</v>
      </c>
      <c r="GD3" s="6" t="s">
        <v>19</v>
      </c>
      <c r="GE3" s="6" t="s">
        <v>18</v>
      </c>
      <c r="GF3" s="6" t="s">
        <v>20</v>
      </c>
      <c r="GG3" s="6" t="s">
        <v>21</v>
      </c>
      <c r="GH3" s="6" t="s">
        <v>21</v>
      </c>
      <c r="GI3" s="6" t="s">
        <v>17</v>
      </c>
      <c r="GJ3" s="6" t="s">
        <v>18</v>
      </c>
      <c r="GK3" s="6" t="s">
        <v>19</v>
      </c>
      <c r="GL3" s="6" t="s">
        <v>18</v>
      </c>
      <c r="GM3" s="6" t="s">
        <v>20</v>
      </c>
      <c r="GN3" s="6" t="s">
        <v>21</v>
      </c>
      <c r="GO3" s="6" t="s">
        <v>21</v>
      </c>
      <c r="GP3" s="6" t="s">
        <v>17</v>
      </c>
      <c r="GQ3" s="6" t="s">
        <v>18</v>
      </c>
      <c r="GR3" s="6" t="s">
        <v>19</v>
      </c>
      <c r="GS3" s="6" t="s">
        <v>18</v>
      </c>
      <c r="GT3" s="6" t="s">
        <v>20</v>
      </c>
      <c r="GU3" s="6" t="s">
        <v>21</v>
      </c>
      <c r="GV3" s="6" t="s">
        <v>21</v>
      </c>
      <c r="GW3" s="6" t="s">
        <v>17</v>
      </c>
      <c r="GX3" s="6" t="s">
        <v>18</v>
      </c>
      <c r="GY3" s="6" t="s">
        <v>19</v>
      </c>
      <c r="GZ3" s="6" t="s">
        <v>18</v>
      </c>
      <c r="HA3" s="6" t="s">
        <v>20</v>
      </c>
      <c r="HB3" s="6" t="s">
        <v>21</v>
      </c>
      <c r="HC3" s="6" t="s">
        <v>21</v>
      </c>
      <c r="HD3" s="6" t="s">
        <v>17</v>
      </c>
      <c r="HE3" s="6" t="s">
        <v>18</v>
      </c>
      <c r="HF3" s="6" t="s">
        <v>19</v>
      </c>
      <c r="HG3" s="6" t="s">
        <v>18</v>
      </c>
      <c r="HH3" s="6" t="s">
        <v>20</v>
      </c>
      <c r="HI3" s="6" t="s">
        <v>21</v>
      </c>
      <c r="HJ3" s="6" t="s">
        <v>21</v>
      </c>
      <c r="HK3" s="6" t="s">
        <v>17</v>
      </c>
      <c r="HL3" s="6" t="s">
        <v>18</v>
      </c>
      <c r="HM3" s="6" t="s">
        <v>19</v>
      </c>
      <c r="HN3" s="6" t="s">
        <v>18</v>
      </c>
      <c r="HO3" s="6" t="s">
        <v>20</v>
      </c>
      <c r="HP3" s="6" t="s">
        <v>21</v>
      </c>
      <c r="HQ3" s="6" t="s">
        <v>21</v>
      </c>
      <c r="HR3" s="6" t="s">
        <v>17</v>
      </c>
      <c r="HS3" s="6" t="s">
        <v>18</v>
      </c>
      <c r="HT3" s="6" t="s">
        <v>19</v>
      </c>
      <c r="HU3" s="6" t="s">
        <v>18</v>
      </c>
      <c r="HV3" s="6" t="s">
        <v>20</v>
      </c>
      <c r="HW3" s="6" t="s">
        <v>21</v>
      </c>
      <c r="HX3" s="6" t="s">
        <v>21</v>
      </c>
    </row>
    <row r="4" spans="1:232" ht="0.6" customHeight="1" thickBot="1" x14ac:dyDescent="0.35">
      <c r="A4" s="27" t="s">
        <v>3</v>
      </c>
      <c r="D4"/>
      <c r="F4"/>
      <c r="G4"/>
      <c r="H4" t="str">
        <f>IF(OR(ISBLANK(task_start),ISBLANK(task_end)),"",task_end-task_start+1)</f>
        <v/>
      </c>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c r="FW4" s="24"/>
      <c r="FX4" s="24"/>
      <c r="FY4" s="24"/>
      <c r="FZ4" s="24"/>
      <c r="GA4" s="24"/>
      <c r="GB4" s="24"/>
      <c r="GC4" s="24"/>
      <c r="GD4" s="24"/>
      <c r="GE4" s="24"/>
      <c r="GF4" s="24"/>
      <c r="GG4" s="24"/>
      <c r="GH4" s="24"/>
      <c r="GI4" s="24"/>
      <c r="GJ4" s="24"/>
      <c r="GK4" s="24"/>
      <c r="GL4" s="24"/>
      <c r="GM4" s="24"/>
      <c r="GN4" s="24"/>
      <c r="GO4" s="24"/>
      <c r="GP4" s="24"/>
      <c r="GQ4" s="24"/>
      <c r="GR4" s="24"/>
      <c r="GS4" s="24"/>
      <c r="GT4" s="24"/>
      <c r="GU4" s="24"/>
      <c r="GV4" s="24"/>
      <c r="GW4" s="24"/>
      <c r="GX4" s="24"/>
      <c r="GY4" s="24"/>
      <c r="GZ4" s="24"/>
      <c r="HA4" s="24"/>
      <c r="HB4" s="24"/>
      <c r="HC4" s="24"/>
      <c r="HD4" s="24"/>
      <c r="HE4" s="24"/>
      <c r="HF4" s="24"/>
      <c r="HG4" s="24"/>
      <c r="HH4" s="24"/>
      <c r="HI4" s="24"/>
      <c r="HJ4" s="24"/>
      <c r="HK4" s="24"/>
      <c r="HL4" s="24"/>
      <c r="HM4" s="24"/>
      <c r="HN4" s="24"/>
      <c r="HO4" s="24"/>
      <c r="HP4" s="24"/>
      <c r="HQ4" s="24"/>
      <c r="HR4" s="24"/>
      <c r="HS4" s="24"/>
      <c r="HT4" s="24"/>
      <c r="HU4" s="24"/>
      <c r="HV4" s="24"/>
      <c r="HW4" s="24"/>
      <c r="HX4" s="24"/>
    </row>
    <row r="5" spans="1:232" s="1" customFormat="1" ht="30" customHeight="1" thickBot="1" x14ac:dyDescent="0.35">
      <c r="A5" s="28" t="s">
        <v>4</v>
      </c>
      <c r="B5" s="70" t="s">
        <v>60</v>
      </c>
      <c r="C5" s="71"/>
      <c r="D5" s="72"/>
      <c r="E5" s="73"/>
      <c r="F5" s="74"/>
      <c r="G5" s="74"/>
      <c r="H5" s="8" t="str">
        <f t="shared" ref="H5:H30" si="121">IF(OR(ISBLANK(task_start),ISBLANK(task_end)),"",task_end-task_start+1)</f>
        <v/>
      </c>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c r="FD5" s="24"/>
      <c r="FE5" s="24"/>
      <c r="FF5" s="24"/>
      <c r="FG5" s="24"/>
      <c r="FH5" s="24"/>
      <c r="FI5" s="24"/>
      <c r="FJ5" s="24"/>
      <c r="FK5" s="24"/>
      <c r="FL5" s="24"/>
      <c r="FM5" s="24"/>
      <c r="FN5" s="24"/>
      <c r="FO5" s="24"/>
      <c r="FP5" s="24"/>
      <c r="FQ5" s="24"/>
      <c r="FR5" s="24"/>
      <c r="FS5" s="24"/>
      <c r="FT5" s="24"/>
      <c r="FU5" s="24"/>
      <c r="FV5" s="24"/>
      <c r="FW5" s="24"/>
      <c r="FX5" s="24"/>
      <c r="FY5" s="24"/>
      <c r="FZ5" s="24"/>
      <c r="GA5" s="24"/>
      <c r="GB5" s="24"/>
      <c r="GC5" s="24"/>
      <c r="GD5" s="24"/>
      <c r="GE5" s="24"/>
      <c r="GF5" s="24"/>
      <c r="GG5" s="24"/>
      <c r="GH5" s="24"/>
      <c r="GI5" s="24"/>
      <c r="GJ5" s="24"/>
      <c r="GK5" s="24"/>
      <c r="GL5" s="24"/>
      <c r="GM5" s="24"/>
      <c r="GN5" s="24"/>
      <c r="GO5" s="24"/>
      <c r="GP5" s="24"/>
      <c r="GQ5" s="24"/>
      <c r="GR5" s="24"/>
      <c r="GS5" s="24"/>
      <c r="GT5" s="24"/>
      <c r="GU5" s="24"/>
      <c r="GV5" s="24"/>
      <c r="GW5" s="24"/>
      <c r="GX5" s="24"/>
      <c r="GY5" s="24"/>
      <c r="GZ5" s="24"/>
      <c r="HA5" s="24"/>
      <c r="HB5" s="24"/>
      <c r="HC5" s="24"/>
      <c r="HD5" s="24"/>
      <c r="HE5" s="24"/>
      <c r="HF5" s="24"/>
      <c r="HG5" s="24"/>
      <c r="HH5" s="24"/>
      <c r="HI5" s="24"/>
      <c r="HJ5" s="24"/>
      <c r="HK5" s="24"/>
      <c r="HL5" s="24"/>
      <c r="HM5" s="24"/>
      <c r="HN5" s="24"/>
      <c r="HO5" s="24"/>
      <c r="HP5" s="24"/>
      <c r="HQ5" s="24"/>
      <c r="HR5" s="24"/>
      <c r="HS5" s="24"/>
      <c r="HT5" s="24"/>
      <c r="HU5" s="24"/>
      <c r="HV5" s="24"/>
      <c r="HW5" s="24"/>
      <c r="HX5" s="24"/>
    </row>
    <row r="6" spans="1:232" s="1" customFormat="1" ht="30" customHeight="1" thickBot="1" x14ac:dyDescent="0.35">
      <c r="A6" s="28" t="s">
        <v>5</v>
      </c>
      <c r="B6" s="75" t="s">
        <v>48</v>
      </c>
      <c r="C6" s="76">
        <v>1</v>
      </c>
      <c r="D6" s="77">
        <v>45929</v>
      </c>
      <c r="E6" s="77">
        <v>45940</v>
      </c>
      <c r="F6" s="78" t="s">
        <v>97</v>
      </c>
      <c r="G6" s="78">
        <v>14</v>
      </c>
      <c r="H6" s="8" t="e">
        <f t="shared" si="121"/>
        <v>#REF!</v>
      </c>
      <c r="I6" s="81"/>
      <c r="J6" s="81"/>
      <c r="K6" s="81"/>
      <c r="L6" s="81"/>
      <c r="M6" s="81"/>
      <c r="N6" s="81"/>
      <c r="O6" s="81"/>
      <c r="P6" s="81"/>
      <c r="Q6" s="81"/>
      <c r="R6" s="81"/>
      <c r="S6" s="81"/>
      <c r="T6" s="81"/>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row>
    <row r="7" spans="1:232" s="1" customFormat="1" ht="30" customHeight="1" thickBot="1" x14ac:dyDescent="0.35">
      <c r="A7" s="28" t="s">
        <v>6</v>
      </c>
      <c r="B7" s="79" t="s">
        <v>104</v>
      </c>
      <c r="C7" s="76">
        <v>1</v>
      </c>
      <c r="D7" s="77">
        <v>45929</v>
      </c>
      <c r="E7" s="77">
        <v>45954</v>
      </c>
      <c r="F7" s="78" t="s">
        <v>98</v>
      </c>
      <c r="G7" s="78">
        <v>2</v>
      </c>
      <c r="H7" s="8" t="e">
        <f t="shared" si="121"/>
        <v>#REF!</v>
      </c>
      <c r="I7" s="81"/>
      <c r="J7" s="81"/>
      <c r="K7" s="81"/>
      <c r="L7" s="81"/>
      <c r="M7" s="81"/>
      <c r="N7" s="81"/>
      <c r="O7" s="81"/>
      <c r="P7" s="81"/>
      <c r="Q7" s="81"/>
      <c r="R7" s="81"/>
      <c r="S7" s="81"/>
      <c r="T7" s="81"/>
      <c r="U7" s="82"/>
      <c r="V7" s="82"/>
      <c r="W7" s="81"/>
      <c r="X7" s="81"/>
      <c r="Y7" s="81"/>
      <c r="Z7" s="81"/>
      <c r="AA7" s="81"/>
      <c r="AB7" s="81"/>
      <c r="AC7" s="81"/>
      <c r="AD7" s="81"/>
      <c r="AE7" s="81"/>
      <c r="AF7" s="81"/>
      <c r="AG7" s="81"/>
      <c r="AH7" s="81"/>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5"/>
      <c r="BZ7" s="25"/>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c r="EB7" s="24"/>
      <c r="EC7" s="25"/>
      <c r="ED7" s="25"/>
      <c r="EE7" s="24"/>
      <c r="EF7" s="24"/>
      <c r="EG7" s="24"/>
      <c r="EH7" s="24"/>
      <c r="EI7" s="24"/>
      <c r="EJ7" s="24"/>
      <c r="EK7" s="24"/>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c r="FW7" s="24"/>
      <c r="FX7" s="24"/>
      <c r="FY7" s="24"/>
      <c r="FZ7" s="24"/>
      <c r="GA7" s="24"/>
      <c r="GB7" s="24"/>
      <c r="GC7" s="24"/>
      <c r="GD7" s="24"/>
      <c r="GE7" s="24"/>
      <c r="GF7" s="24"/>
      <c r="GG7" s="25"/>
      <c r="GH7" s="25"/>
      <c r="GI7" s="24"/>
      <c r="GJ7" s="24"/>
      <c r="GK7" s="24"/>
      <c r="GL7" s="24"/>
      <c r="GM7" s="24"/>
      <c r="GN7" s="24"/>
      <c r="GO7" s="24"/>
      <c r="GP7" s="24"/>
      <c r="GQ7" s="24"/>
      <c r="GR7" s="24"/>
      <c r="GS7" s="24"/>
      <c r="GT7" s="24"/>
      <c r="GU7" s="24"/>
      <c r="GV7" s="24"/>
      <c r="GW7" s="24"/>
      <c r="GX7" s="24"/>
      <c r="GY7" s="24"/>
      <c r="GZ7" s="24"/>
      <c r="HA7" s="24"/>
      <c r="HB7" s="24"/>
      <c r="HC7" s="24"/>
      <c r="HD7" s="24"/>
      <c r="HE7" s="24"/>
      <c r="HF7" s="24"/>
      <c r="HG7" s="24"/>
      <c r="HH7" s="24"/>
      <c r="HI7" s="24"/>
      <c r="HJ7" s="24"/>
      <c r="HK7" s="24"/>
      <c r="HL7" s="24"/>
      <c r="HM7" s="24"/>
      <c r="HN7" s="24"/>
      <c r="HO7" s="24"/>
      <c r="HP7" s="24"/>
      <c r="HQ7" s="24"/>
      <c r="HR7" s="24"/>
      <c r="HS7" s="24"/>
      <c r="HT7" s="24"/>
      <c r="HU7" s="24"/>
      <c r="HV7" s="24"/>
      <c r="HW7" s="24"/>
      <c r="HX7" s="24"/>
    </row>
    <row r="8" spans="1:232" s="1" customFormat="1" ht="30" customHeight="1" thickBot="1" x14ac:dyDescent="0.35">
      <c r="A8" s="27"/>
      <c r="B8" s="75" t="s">
        <v>49</v>
      </c>
      <c r="C8" s="76">
        <v>1</v>
      </c>
      <c r="D8" s="77">
        <v>45936</v>
      </c>
      <c r="E8" s="77">
        <v>45968</v>
      </c>
      <c r="F8" s="78" t="s">
        <v>93</v>
      </c>
      <c r="G8" s="78">
        <v>0</v>
      </c>
      <c r="H8" s="8" t="e">
        <f t="shared" si="121"/>
        <v>#REF!</v>
      </c>
      <c r="I8" s="24"/>
      <c r="J8" s="24"/>
      <c r="K8" s="24"/>
      <c r="L8" s="24"/>
      <c r="M8" s="24"/>
      <c r="N8" s="24"/>
      <c r="O8" s="24"/>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c r="HC8" s="24"/>
      <c r="HD8" s="24"/>
      <c r="HE8" s="24"/>
      <c r="HF8" s="24"/>
      <c r="HG8" s="24"/>
      <c r="HH8" s="24"/>
      <c r="HI8" s="24"/>
      <c r="HJ8" s="24"/>
      <c r="HK8" s="24"/>
      <c r="HL8" s="24"/>
      <c r="HM8" s="24"/>
      <c r="HN8" s="24"/>
      <c r="HO8" s="24"/>
      <c r="HP8" s="24"/>
      <c r="HQ8" s="24"/>
      <c r="HR8" s="24"/>
      <c r="HS8" s="24"/>
      <c r="HT8" s="24"/>
      <c r="HU8" s="24"/>
      <c r="HV8" s="24"/>
      <c r="HW8" s="24"/>
      <c r="HX8" s="24"/>
    </row>
    <row r="9" spans="1:232" s="1" customFormat="1" ht="30" customHeight="1" thickBot="1" x14ac:dyDescent="0.35">
      <c r="A9" s="27"/>
      <c r="B9" s="118" t="s">
        <v>50</v>
      </c>
      <c r="C9" s="76">
        <v>1</v>
      </c>
      <c r="D9" s="116">
        <v>45952</v>
      </c>
      <c r="E9" s="116">
        <v>45952</v>
      </c>
      <c r="F9" s="117" t="s">
        <v>100</v>
      </c>
      <c r="G9" s="117">
        <v>0</v>
      </c>
      <c r="H9" s="8" t="e">
        <f t="shared" si="121"/>
        <v>#REF!</v>
      </c>
      <c r="I9" s="24"/>
      <c r="J9" s="24"/>
      <c r="K9" s="24"/>
      <c r="L9" s="24"/>
      <c r="M9" s="24"/>
      <c r="N9" s="24"/>
      <c r="O9" s="24"/>
      <c r="P9" s="24"/>
      <c r="Q9" s="24"/>
      <c r="R9" s="24"/>
      <c r="S9" s="24"/>
      <c r="T9" s="24"/>
      <c r="U9" s="24"/>
      <c r="V9" s="24"/>
      <c r="W9" s="24"/>
      <c r="X9" s="24"/>
      <c r="Y9" s="25"/>
      <c r="Z9" s="24"/>
      <c r="AA9" s="24"/>
      <c r="AB9" s="24"/>
      <c r="AC9" s="24"/>
      <c r="AD9" s="24"/>
      <c r="AE9" s="24"/>
      <c r="AF9" s="119"/>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5"/>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5"/>
      <c r="EH9" s="24"/>
      <c r="EI9" s="24"/>
      <c r="EJ9" s="24"/>
      <c r="EK9" s="24"/>
      <c r="EL9" s="24"/>
      <c r="EM9" s="24"/>
      <c r="EN9" s="24"/>
      <c r="EO9" s="24"/>
      <c r="EP9" s="24"/>
      <c r="EQ9" s="24"/>
      <c r="ER9" s="24"/>
      <c r="ES9" s="24"/>
      <c r="ET9" s="24"/>
      <c r="EU9" s="24"/>
      <c r="EV9" s="24"/>
      <c r="EW9" s="24"/>
      <c r="EX9" s="24"/>
      <c r="EY9" s="24"/>
      <c r="EZ9" s="24"/>
      <c r="FA9" s="24"/>
      <c r="FB9" s="24"/>
      <c r="FC9" s="24"/>
      <c r="FD9" s="24"/>
      <c r="FE9" s="24"/>
      <c r="FF9" s="24"/>
      <c r="FG9" s="24"/>
      <c r="FH9" s="24"/>
      <c r="FI9" s="24"/>
      <c r="FJ9" s="24"/>
      <c r="FK9" s="24"/>
      <c r="FL9" s="24"/>
      <c r="FM9" s="24"/>
      <c r="FN9" s="24"/>
      <c r="FO9" s="24"/>
      <c r="FP9" s="24"/>
      <c r="FQ9" s="24"/>
      <c r="FR9" s="24"/>
      <c r="FS9" s="24"/>
      <c r="FT9" s="24"/>
      <c r="FU9" s="24"/>
      <c r="FV9" s="24"/>
      <c r="FW9" s="24"/>
      <c r="FX9" s="24"/>
      <c r="FY9" s="24"/>
      <c r="FZ9" s="24"/>
      <c r="GA9" s="24"/>
      <c r="GB9" s="24"/>
      <c r="GC9" s="24"/>
      <c r="GD9" s="24"/>
      <c r="GE9" s="24"/>
      <c r="GF9" s="24"/>
      <c r="GG9" s="24"/>
      <c r="GH9" s="24"/>
      <c r="GI9" s="24"/>
      <c r="GJ9" s="24"/>
      <c r="GK9" s="25"/>
      <c r="GL9" s="24"/>
      <c r="GM9" s="24"/>
      <c r="GN9" s="24"/>
      <c r="GO9" s="24"/>
      <c r="GP9" s="24"/>
      <c r="GQ9" s="24"/>
      <c r="GR9" s="24"/>
      <c r="GS9" s="24"/>
      <c r="GT9" s="24"/>
      <c r="GU9" s="24"/>
      <c r="GV9" s="24"/>
      <c r="GW9" s="24"/>
      <c r="GX9" s="24"/>
      <c r="GY9" s="24"/>
      <c r="GZ9" s="24"/>
      <c r="HA9" s="24"/>
      <c r="HB9" s="24"/>
      <c r="HC9" s="24"/>
      <c r="HD9" s="24"/>
      <c r="HE9" s="24"/>
      <c r="HF9" s="24"/>
      <c r="HG9" s="24"/>
      <c r="HH9" s="24"/>
      <c r="HI9" s="24"/>
      <c r="HJ9" s="24"/>
      <c r="HK9" s="24"/>
      <c r="HL9" s="24"/>
      <c r="HM9" s="24"/>
      <c r="HN9" s="24"/>
      <c r="HO9" s="24"/>
      <c r="HP9" s="24"/>
      <c r="HQ9" s="24"/>
      <c r="HR9" s="24"/>
      <c r="HS9" s="24"/>
      <c r="HT9" s="24"/>
      <c r="HU9" s="24"/>
      <c r="HV9" s="24"/>
      <c r="HW9" s="24"/>
      <c r="HX9" s="24"/>
    </row>
    <row r="10" spans="1:232" s="1" customFormat="1" ht="30" customHeight="1" thickBot="1" x14ac:dyDescent="0.35">
      <c r="A10" s="28" t="s">
        <v>7</v>
      </c>
      <c r="B10" s="83" t="s">
        <v>59</v>
      </c>
      <c r="C10" s="84"/>
      <c r="D10" s="85"/>
      <c r="E10" s="86"/>
      <c r="F10" s="87"/>
      <c r="G10" s="87"/>
      <c r="H10" s="8" t="str">
        <f t="shared" si="121"/>
        <v/>
      </c>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92"/>
      <c r="AL10" s="92"/>
      <c r="AM10" s="92"/>
      <c r="AN10" s="92"/>
      <c r="AO10" s="92"/>
      <c r="AP10" s="92"/>
      <c r="AQ10" s="92"/>
      <c r="AR10" s="92"/>
      <c r="AS10" s="92"/>
      <c r="AT10" s="92"/>
      <c r="AU10" s="92"/>
      <c r="AV10" s="92"/>
      <c r="AW10" s="92"/>
      <c r="AX10" s="92"/>
      <c r="AY10" s="92"/>
      <c r="AZ10" s="92"/>
      <c r="BA10" s="92"/>
      <c r="BB10" s="92"/>
      <c r="BC10" s="92"/>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c r="HC10" s="24"/>
      <c r="HD10" s="24"/>
      <c r="HE10" s="24"/>
      <c r="HF10" s="24"/>
      <c r="HG10" s="24"/>
      <c r="HH10" s="24"/>
      <c r="HI10" s="24"/>
      <c r="HJ10" s="24"/>
      <c r="HK10" s="24"/>
      <c r="HL10" s="24"/>
      <c r="HM10" s="24"/>
      <c r="HN10" s="24"/>
      <c r="HO10" s="24"/>
      <c r="HP10" s="24"/>
      <c r="HQ10" s="24"/>
      <c r="HR10" s="24"/>
      <c r="HS10" s="24"/>
      <c r="HT10" s="24"/>
      <c r="HU10" s="24"/>
      <c r="HV10" s="24"/>
      <c r="HW10" s="24"/>
      <c r="HX10" s="24"/>
    </row>
    <row r="11" spans="1:232" s="1" customFormat="1" ht="30" customHeight="1" thickBot="1" x14ac:dyDescent="0.35">
      <c r="A11" s="28"/>
      <c r="B11" s="88" t="s">
        <v>167</v>
      </c>
      <c r="C11" s="89">
        <v>1</v>
      </c>
      <c r="D11" s="90">
        <v>45957</v>
      </c>
      <c r="E11" s="90">
        <v>45961</v>
      </c>
      <c r="F11" s="91" t="s">
        <v>92</v>
      </c>
      <c r="G11" s="91">
        <v>2</v>
      </c>
      <c r="H11" s="8" t="e">
        <f t="shared" si="121"/>
        <v>#REF!</v>
      </c>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93"/>
      <c r="AL11" s="93"/>
      <c r="AM11" s="93"/>
      <c r="AN11" s="93"/>
      <c r="AO11" s="93"/>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row>
    <row r="12" spans="1:232" s="1" customFormat="1" ht="30" customHeight="1" thickBot="1" x14ac:dyDescent="0.35">
      <c r="A12" s="27"/>
      <c r="B12" s="88" t="s">
        <v>51</v>
      </c>
      <c r="C12" s="89">
        <v>1</v>
      </c>
      <c r="D12" s="90">
        <v>45964</v>
      </c>
      <c r="E12" s="90">
        <v>45975</v>
      </c>
      <c r="F12" s="91" t="s">
        <v>97</v>
      </c>
      <c r="G12" s="91">
        <v>0</v>
      </c>
      <c r="H12" s="8" t="e">
        <f t="shared" si="121"/>
        <v>#REF!</v>
      </c>
      <c r="I12" s="24"/>
      <c r="J12" s="24"/>
      <c r="K12" s="24"/>
      <c r="L12" s="24"/>
      <c r="M12" s="24"/>
      <c r="N12" s="24"/>
      <c r="O12" s="24"/>
      <c r="P12" s="24"/>
      <c r="Q12" s="24"/>
      <c r="R12" s="24"/>
      <c r="S12" s="24"/>
      <c r="T12" s="24"/>
      <c r="U12" s="25"/>
      <c r="V12" s="25"/>
      <c r="W12" s="24"/>
      <c r="X12" s="24"/>
      <c r="Y12" s="24"/>
      <c r="Z12" s="24"/>
      <c r="AA12" s="24"/>
      <c r="AB12" s="24"/>
      <c r="AC12" s="24"/>
      <c r="AD12" s="24"/>
      <c r="AE12" s="24"/>
      <c r="AF12" s="24"/>
      <c r="AG12" s="24"/>
      <c r="AH12" s="24"/>
      <c r="AI12" s="24"/>
      <c r="AJ12" s="24"/>
      <c r="AK12" s="24"/>
      <c r="AL12" s="24"/>
      <c r="AM12" s="24"/>
      <c r="AN12" s="24"/>
      <c r="AO12" s="24"/>
      <c r="AP12" s="24"/>
      <c r="AQ12" s="24"/>
      <c r="AR12" s="93"/>
      <c r="AS12" s="93"/>
      <c r="AT12" s="93"/>
      <c r="AU12" s="93"/>
      <c r="AV12" s="93"/>
      <c r="AW12" s="93"/>
      <c r="AX12" s="93"/>
      <c r="AY12" s="93"/>
      <c r="AZ12" s="93"/>
      <c r="BA12" s="93"/>
      <c r="BB12" s="93"/>
      <c r="BC12" s="93"/>
      <c r="BD12" s="24"/>
      <c r="BE12" s="24"/>
      <c r="BF12" s="24"/>
      <c r="BG12" s="24"/>
      <c r="BH12" s="24"/>
      <c r="BI12" s="24"/>
      <c r="BJ12" s="24"/>
      <c r="BK12" s="24"/>
      <c r="BL12" s="24"/>
      <c r="BM12" s="24"/>
      <c r="BN12" s="24"/>
      <c r="BO12" s="24"/>
      <c r="BP12" s="24"/>
      <c r="BQ12" s="24"/>
      <c r="BR12" s="24"/>
      <c r="BS12" s="24"/>
      <c r="BT12" s="24"/>
      <c r="BU12" s="24"/>
      <c r="BV12" s="24"/>
      <c r="BW12" s="24"/>
      <c r="BX12" s="24"/>
      <c r="BY12" s="25"/>
      <c r="BZ12" s="25"/>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5"/>
      <c r="ED12" s="25"/>
      <c r="EE12" s="24"/>
      <c r="EF12" s="24"/>
      <c r="EG12" s="24"/>
      <c r="EH12" s="24"/>
      <c r="EI12" s="24"/>
      <c r="EJ12" s="24"/>
      <c r="EK12" s="24"/>
      <c r="EL12" s="24"/>
      <c r="EM12" s="24"/>
      <c r="EN12" s="24"/>
      <c r="EO12" s="24"/>
      <c r="EP12" s="24"/>
      <c r="EQ12" s="24"/>
      <c r="ER12" s="24"/>
      <c r="ES12" s="24"/>
      <c r="ET12" s="24"/>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c r="FZ12" s="24"/>
      <c r="GA12" s="24"/>
      <c r="GB12" s="24"/>
      <c r="GC12" s="24"/>
      <c r="GD12" s="24"/>
      <c r="GE12" s="24"/>
      <c r="GF12" s="24"/>
      <c r="GG12" s="25"/>
      <c r="GH12" s="25"/>
      <c r="GI12" s="24"/>
      <c r="GJ12" s="24"/>
      <c r="GK12" s="24"/>
      <c r="GL12" s="24"/>
      <c r="GM12" s="24"/>
      <c r="GN12" s="24"/>
      <c r="GO12" s="24"/>
      <c r="GP12" s="24"/>
      <c r="GQ12" s="24"/>
      <c r="GR12" s="24"/>
      <c r="GS12" s="24"/>
      <c r="GT12" s="24"/>
      <c r="GU12" s="24"/>
      <c r="GV12" s="24"/>
      <c r="GW12" s="24"/>
      <c r="GX12" s="24"/>
      <c r="GY12" s="24"/>
      <c r="GZ12" s="24"/>
      <c r="HA12" s="24"/>
      <c r="HB12" s="24"/>
      <c r="HC12" s="24"/>
      <c r="HD12" s="24"/>
      <c r="HE12" s="24"/>
      <c r="HF12" s="24"/>
      <c r="HG12" s="24"/>
      <c r="HH12" s="24"/>
      <c r="HI12" s="24"/>
      <c r="HJ12" s="24"/>
      <c r="HK12" s="24"/>
      <c r="HL12" s="24"/>
      <c r="HM12" s="24"/>
      <c r="HN12" s="24"/>
      <c r="HO12" s="24"/>
      <c r="HP12" s="24"/>
      <c r="HQ12" s="24"/>
      <c r="HR12" s="24"/>
      <c r="HS12" s="24"/>
      <c r="HT12" s="24"/>
      <c r="HU12" s="24"/>
      <c r="HV12" s="24"/>
      <c r="HW12" s="24"/>
      <c r="HX12" s="24"/>
    </row>
    <row r="13" spans="1:232" s="1" customFormat="1" ht="30" customHeight="1" thickBot="1" x14ac:dyDescent="0.35">
      <c r="A13" s="27"/>
      <c r="B13" s="88" t="s">
        <v>168</v>
      </c>
      <c r="C13" s="89">
        <v>1</v>
      </c>
      <c r="D13" s="90">
        <v>45964</v>
      </c>
      <c r="E13" s="90">
        <v>45968</v>
      </c>
      <c r="F13" s="91" t="s">
        <v>92</v>
      </c>
      <c r="G13" s="91">
        <v>7</v>
      </c>
      <c r="H13" s="8" t="e">
        <f t="shared" si="121"/>
        <v>#REF!</v>
      </c>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93"/>
      <c r="AS13" s="93"/>
      <c r="AT13" s="93"/>
      <c r="AU13" s="93"/>
      <c r="AV13" s="93"/>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row>
    <row r="14" spans="1:232" s="1" customFormat="1" ht="30" customHeight="1" thickBot="1" x14ac:dyDescent="0.35">
      <c r="A14" s="27"/>
      <c r="B14" s="88" t="s">
        <v>52</v>
      </c>
      <c r="C14" s="89">
        <v>1</v>
      </c>
      <c r="D14" s="90">
        <v>45971</v>
      </c>
      <c r="E14" s="90">
        <v>45975</v>
      </c>
      <c r="F14" s="91" t="s">
        <v>92</v>
      </c>
      <c r="G14" s="91">
        <v>0</v>
      </c>
      <c r="H14" s="8" t="e">
        <f t="shared" si="121"/>
        <v>#REF!</v>
      </c>
      <c r="I14" s="24"/>
      <c r="J14" s="24"/>
      <c r="K14" s="24"/>
      <c r="L14" s="24"/>
      <c r="M14" s="24"/>
      <c r="N14" s="24"/>
      <c r="O14" s="24"/>
      <c r="P14" s="24"/>
      <c r="Q14" s="24"/>
      <c r="R14" s="24"/>
      <c r="S14" s="24"/>
      <c r="T14" s="24"/>
      <c r="U14" s="24"/>
      <c r="V14" s="24"/>
      <c r="W14" s="24"/>
      <c r="X14" s="24"/>
      <c r="Y14" s="25"/>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93"/>
      <c r="AZ14" s="93"/>
      <c r="BA14" s="93"/>
      <c r="BB14" s="93"/>
      <c r="BC14" s="93"/>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5"/>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5"/>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5"/>
      <c r="GL14" s="24"/>
      <c r="GM14" s="24"/>
      <c r="GN14" s="24"/>
      <c r="GO14" s="24"/>
      <c r="GP14" s="24"/>
      <c r="GQ14" s="24"/>
      <c r="GR14" s="24"/>
      <c r="GS14" s="24"/>
      <c r="GT14" s="24"/>
      <c r="GU14" s="24"/>
      <c r="GV14" s="24"/>
      <c r="GW14" s="24"/>
      <c r="GX14" s="24"/>
      <c r="GY14" s="24"/>
      <c r="GZ14" s="24"/>
      <c r="HA14" s="24"/>
      <c r="HB14" s="24"/>
      <c r="HC14" s="24"/>
      <c r="HD14" s="24"/>
      <c r="HE14" s="24"/>
      <c r="HF14" s="24"/>
      <c r="HG14" s="24"/>
      <c r="HH14" s="24"/>
      <c r="HI14" s="24"/>
      <c r="HJ14" s="24"/>
      <c r="HK14" s="24"/>
      <c r="HL14" s="24"/>
      <c r="HM14" s="24"/>
      <c r="HN14" s="24"/>
      <c r="HO14" s="24"/>
      <c r="HP14" s="24"/>
      <c r="HQ14" s="24"/>
      <c r="HR14" s="24"/>
      <c r="HS14" s="24"/>
      <c r="HT14" s="24"/>
      <c r="HU14" s="24"/>
      <c r="HV14" s="24"/>
      <c r="HW14" s="24"/>
      <c r="HX14" s="24"/>
    </row>
    <row r="15" spans="1:232" s="1" customFormat="1" ht="30" customHeight="1" thickBot="1" x14ac:dyDescent="0.35">
      <c r="A15" s="27" t="s">
        <v>8</v>
      </c>
      <c r="B15" s="12" t="s">
        <v>58</v>
      </c>
      <c r="C15" s="13"/>
      <c r="D15" s="34"/>
      <c r="E15" s="35"/>
      <c r="F15" s="58"/>
      <c r="G15" s="58"/>
      <c r="H15" s="8" t="str">
        <f t="shared" si="121"/>
        <v/>
      </c>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67"/>
      <c r="BG15" s="67"/>
      <c r="BH15" s="67"/>
      <c r="BI15" s="67"/>
      <c r="BJ15" s="67"/>
      <c r="BK15" s="67"/>
      <c r="BL15" s="67"/>
      <c r="BM15" s="67"/>
      <c r="BN15" s="67"/>
      <c r="BO15" s="67"/>
      <c r="BP15" s="67"/>
      <c r="BQ15" s="67"/>
      <c r="BR15" s="67"/>
      <c r="BS15" s="67"/>
      <c r="BT15" s="67"/>
      <c r="BU15" s="67"/>
      <c r="BV15" s="67"/>
      <c r="BW15" s="67"/>
      <c r="BX15" s="67"/>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4"/>
      <c r="HX15" s="24"/>
    </row>
    <row r="16" spans="1:232" s="1" customFormat="1" ht="30" customHeight="1" thickBot="1" x14ac:dyDescent="0.35">
      <c r="A16" s="27"/>
      <c r="B16" s="51" t="s">
        <v>53</v>
      </c>
      <c r="C16" s="14">
        <v>1</v>
      </c>
      <c r="D16" s="36">
        <v>45978</v>
      </c>
      <c r="E16" s="36">
        <v>45982</v>
      </c>
      <c r="F16" s="59" t="s">
        <v>92</v>
      </c>
      <c r="G16" s="59">
        <v>5</v>
      </c>
      <c r="H16" s="8" t="e">
        <f t="shared" si="121"/>
        <v>#REF!</v>
      </c>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95"/>
      <c r="BG16" s="96"/>
      <c r="BH16" s="95"/>
      <c r="BI16" s="95"/>
      <c r="BJ16" s="95"/>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c r="HC16" s="24"/>
      <c r="HD16" s="24"/>
      <c r="HE16" s="24"/>
      <c r="HF16" s="24"/>
      <c r="HG16" s="24"/>
      <c r="HH16" s="24"/>
      <c r="HI16" s="24"/>
      <c r="HJ16" s="24"/>
      <c r="HK16" s="24"/>
      <c r="HL16" s="24"/>
      <c r="HM16" s="24"/>
      <c r="HN16" s="24"/>
      <c r="HO16" s="24"/>
      <c r="HP16" s="24"/>
      <c r="HQ16" s="24"/>
      <c r="HR16" s="24"/>
      <c r="HS16" s="24"/>
      <c r="HT16" s="24"/>
      <c r="HU16" s="24"/>
      <c r="HV16" s="24"/>
      <c r="HW16" s="24"/>
      <c r="HX16" s="24"/>
    </row>
    <row r="17" spans="1:232" s="1" customFormat="1" ht="30" customHeight="1" thickBot="1" x14ac:dyDescent="0.35">
      <c r="A17" s="27"/>
      <c r="B17" s="94" t="s">
        <v>76</v>
      </c>
      <c r="C17" s="14">
        <v>1</v>
      </c>
      <c r="D17" s="36">
        <v>45978</v>
      </c>
      <c r="E17" s="36">
        <v>45989</v>
      </c>
      <c r="F17" s="59" t="s">
        <v>97</v>
      </c>
      <c r="G17" s="59">
        <v>0</v>
      </c>
      <c r="H17" s="8" t="e">
        <f t="shared" si="121"/>
        <v>#REF!</v>
      </c>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95"/>
      <c r="BG17" s="95"/>
      <c r="BH17" s="95"/>
      <c r="BI17" s="95"/>
      <c r="BJ17" s="95"/>
      <c r="BK17" s="95"/>
      <c r="BL17" s="95"/>
      <c r="BM17" s="95"/>
      <c r="BN17" s="95"/>
      <c r="BO17" s="95"/>
      <c r="BP17" s="95"/>
      <c r="BQ17" s="95"/>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4"/>
      <c r="GT17" s="24"/>
      <c r="GU17" s="24"/>
      <c r="GV17" s="24"/>
      <c r="GW17" s="24"/>
      <c r="GX17" s="24"/>
      <c r="GY17" s="24"/>
      <c r="GZ17" s="24"/>
      <c r="HA17" s="24"/>
      <c r="HB17" s="24"/>
      <c r="HC17" s="24"/>
      <c r="HD17" s="24"/>
      <c r="HE17" s="24"/>
      <c r="HF17" s="24"/>
      <c r="HG17" s="24"/>
      <c r="HH17" s="24"/>
      <c r="HI17" s="24"/>
      <c r="HJ17" s="24"/>
      <c r="HK17" s="24"/>
      <c r="HL17" s="24"/>
      <c r="HM17" s="24"/>
      <c r="HN17" s="24"/>
      <c r="HO17" s="24"/>
      <c r="HP17" s="24"/>
      <c r="HQ17" s="24"/>
      <c r="HR17" s="24"/>
      <c r="HS17" s="24"/>
      <c r="HT17" s="24"/>
      <c r="HU17" s="24"/>
      <c r="HV17" s="24"/>
      <c r="HW17" s="24"/>
      <c r="HX17" s="24"/>
    </row>
    <row r="18" spans="1:232" s="1" customFormat="1" ht="30" customHeight="1" thickBot="1" x14ac:dyDescent="0.35">
      <c r="A18" s="27"/>
      <c r="B18" s="51" t="s">
        <v>77</v>
      </c>
      <c r="C18" s="14">
        <v>1</v>
      </c>
      <c r="D18" s="36">
        <v>45985</v>
      </c>
      <c r="E18" s="36">
        <v>45989</v>
      </c>
      <c r="F18" s="59" t="s">
        <v>92</v>
      </c>
      <c r="G18" s="59">
        <v>0</v>
      </c>
      <c r="H18" s="8" t="e">
        <f t="shared" si="121"/>
        <v>#REF!</v>
      </c>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95"/>
      <c r="BN18" s="95"/>
      <c r="BO18" s="95"/>
      <c r="BP18" s="95"/>
      <c r="BQ18" s="95"/>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row>
    <row r="19" spans="1:232" s="1" customFormat="1" ht="30" customHeight="1" thickBot="1" x14ac:dyDescent="0.35">
      <c r="A19" s="27"/>
      <c r="B19" s="94" t="s">
        <v>78</v>
      </c>
      <c r="C19" s="14">
        <v>1</v>
      </c>
      <c r="D19" s="36">
        <v>45992</v>
      </c>
      <c r="E19" s="36">
        <v>45994</v>
      </c>
      <c r="F19" s="59" t="s">
        <v>95</v>
      </c>
      <c r="G19" s="59">
        <v>2</v>
      </c>
      <c r="H19" s="8" t="e">
        <f t="shared" si="121"/>
        <v>#REF!</v>
      </c>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95"/>
      <c r="BU19" s="95"/>
      <c r="BV19" s="95"/>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c r="HM19" s="24"/>
      <c r="HN19" s="24"/>
      <c r="HO19" s="24"/>
      <c r="HP19" s="24"/>
      <c r="HQ19" s="24"/>
      <c r="HR19" s="24"/>
      <c r="HS19" s="24"/>
      <c r="HT19" s="24"/>
      <c r="HU19" s="24"/>
      <c r="HV19" s="24"/>
      <c r="HW19" s="24"/>
      <c r="HX19" s="24"/>
    </row>
    <row r="20" spans="1:232" s="1" customFormat="1" ht="30" customHeight="1" thickBot="1" x14ac:dyDescent="0.35">
      <c r="A20" s="27"/>
      <c r="B20" s="94" t="s">
        <v>79</v>
      </c>
      <c r="C20" s="14">
        <v>1</v>
      </c>
      <c r="D20" s="36">
        <v>45995</v>
      </c>
      <c r="E20" s="36">
        <v>45996</v>
      </c>
      <c r="F20" s="59" t="s">
        <v>96</v>
      </c>
      <c r="G20" s="59">
        <v>0</v>
      </c>
      <c r="H20" s="8" t="e">
        <f t="shared" si="121"/>
        <v>#REF!</v>
      </c>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95"/>
      <c r="BX20" s="95"/>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c r="HC20" s="24"/>
      <c r="HD20" s="24"/>
      <c r="HE20" s="24"/>
      <c r="HF20" s="24"/>
      <c r="HG20" s="24"/>
      <c r="HH20" s="24"/>
      <c r="HI20" s="24"/>
      <c r="HJ20" s="24"/>
      <c r="HK20" s="24"/>
      <c r="HL20" s="24"/>
      <c r="HM20" s="24"/>
      <c r="HN20" s="24"/>
      <c r="HO20" s="24"/>
      <c r="HP20" s="24"/>
      <c r="HQ20" s="24"/>
      <c r="HR20" s="24"/>
      <c r="HS20" s="24"/>
      <c r="HT20" s="24"/>
      <c r="HU20" s="24"/>
      <c r="HV20" s="24"/>
      <c r="HW20" s="24"/>
      <c r="HX20" s="24"/>
    </row>
    <row r="21" spans="1:232" s="1" customFormat="1" ht="30" customHeight="1" thickBot="1" x14ac:dyDescent="0.35">
      <c r="A21" s="27" t="s">
        <v>8</v>
      </c>
      <c r="B21" s="9" t="s">
        <v>57</v>
      </c>
      <c r="C21" s="10"/>
      <c r="D21" s="31"/>
      <c r="E21" s="32"/>
      <c r="F21" s="57"/>
      <c r="G21" s="57"/>
      <c r="H21" s="8" t="str">
        <f t="shared" si="121"/>
        <v/>
      </c>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66"/>
      <c r="BU21" s="66"/>
      <c r="BV21" s="66"/>
      <c r="BW21" s="66"/>
      <c r="BX21" s="66"/>
      <c r="BY21" s="66"/>
      <c r="BZ21" s="66"/>
      <c r="CA21" s="66"/>
      <c r="CB21" s="66"/>
      <c r="CC21" s="66"/>
      <c r="CD21" s="66"/>
      <c r="CE21" s="66"/>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row>
    <row r="22" spans="1:232" s="1" customFormat="1" ht="30" customHeight="1" thickBot="1" x14ac:dyDescent="0.35">
      <c r="A22" s="27"/>
      <c r="B22" s="50" t="s">
        <v>54</v>
      </c>
      <c r="C22" s="11">
        <v>1</v>
      </c>
      <c r="D22" s="33">
        <v>45992</v>
      </c>
      <c r="E22" s="33">
        <v>45994</v>
      </c>
      <c r="F22" s="55" t="s">
        <v>95</v>
      </c>
      <c r="G22" s="55">
        <v>2</v>
      </c>
      <c r="H22" s="8" t="e">
        <f t="shared" si="121"/>
        <v>#REF!</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97"/>
      <c r="BU22" s="97"/>
      <c r="BV22" s="97"/>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row>
    <row r="23" spans="1:232" s="1" customFormat="1" ht="30" customHeight="1" thickBot="1" x14ac:dyDescent="0.35">
      <c r="A23" s="27"/>
      <c r="B23" s="50" t="s">
        <v>55</v>
      </c>
      <c r="C23" s="11">
        <v>1</v>
      </c>
      <c r="D23" s="33">
        <v>45995</v>
      </c>
      <c r="E23" s="33">
        <v>45999</v>
      </c>
      <c r="F23" s="146" t="s">
        <v>92</v>
      </c>
      <c r="G23" s="55">
        <v>2</v>
      </c>
      <c r="H23" s="8" t="e">
        <f t="shared" si="121"/>
        <v>#REF!</v>
      </c>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97"/>
      <c r="BX23" s="97"/>
      <c r="BY23" s="97"/>
      <c r="BZ23" s="97"/>
      <c r="CA23" s="97"/>
      <c r="CB23" s="97"/>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row>
    <row r="24" spans="1:232" s="1" customFormat="1" ht="30" customHeight="1" thickBot="1" x14ac:dyDescent="0.35">
      <c r="A24" s="27"/>
      <c r="B24" s="120" t="s">
        <v>56</v>
      </c>
      <c r="C24" s="121">
        <v>1</v>
      </c>
      <c r="D24" s="122">
        <v>46003</v>
      </c>
      <c r="E24" s="122">
        <v>46003</v>
      </c>
      <c r="F24" s="123" t="s">
        <v>100</v>
      </c>
      <c r="G24" s="123">
        <v>0</v>
      </c>
      <c r="H24" s="8" t="e">
        <f t="shared" si="121"/>
        <v>#REF!</v>
      </c>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C24" s="24"/>
      <c r="CD24" s="24"/>
      <c r="CE24" s="1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row>
    <row r="25" spans="1:232" s="1" customFormat="1" ht="30" customHeight="1" thickBot="1" x14ac:dyDescent="0.35">
      <c r="A25" s="27" t="s">
        <v>9</v>
      </c>
      <c r="B25" s="15" t="s">
        <v>61</v>
      </c>
      <c r="C25" s="16"/>
      <c r="D25" s="37"/>
      <c r="E25" s="38"/>
      <c r="F25" s="60"/>
      <c r="G25" s="60"/>
      <c r="H25" s="8" t="str">
        <f t="shared" si="121"/>
        <v/>
      </c>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68"/>
      <c r="DY25" s="68"/>
      <c r="DZ25" s="68"/>
      <c r="EA25" s="68"/>
      <c r="EB25" s="68"/>
      <c r="EC25" s="68"/>
      <c r="ED25" s="68"/>
      <c r="EE25" s="68"/>
      <c r="EF25" s="68"/>
      <c r="EG25" s="68"/>
      <c r="EH25" s="68"/>
      <c r="EI25" s="68"/>
      <c r="EJ25" s="68"/>
      <c r="EK25" s="68"/>
      <c r="EL25" s="68"/>
      <c r="EM25" s="68"/>
      <c r="EN25" s="68"/>
      <c r="EO25" s="68"/>
      <c r="EP25" s="68"/>
      <c r="EQ25" s="68"/>
      <c r="ER25" s="68"/>
      <c r="ES25" s="68"/>
      <c r="ET25" s="68"/>
      <c r="EU25" s="68"/>
      <c r="EV25" s="68"/>
      <c r="EW25" s="68"/>
      <c r="EX25" s="68"/>
      <c r="EY25" s="68"/>
      <c r="EZ25" s="68"/>
      <c r="FA25" s="68"/>
      <c r="FB25" s="68"/>
      <c r="FC25" s="68"/>
      <c r="FD25" s="68"/>
      <c r="FE25" s="68"/>
      <c r="FF25" s="68"/>
      <c r="FG25" s="68"/>
      <c r="FH25" s="68"/>
      <c r="FI25" s="68"/>
      <c r="FJ25" s="68"/>
      <c r="FK25" s="68"/>
      <c r="FL25" s="68"/>
      <c r="FM25" s="68"/>
      <c r="FN25" s="68"/>
      <c r="FO25" s="68"/>
      <c r="FP25" s="68"/>
      <c r="FQ25" s="68"/>
      <c r="FR25" s="68"/>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row>
    <row r="26" spans="1:232" s="1" customFormat="1" ht="30" customHeight="1" thickBot="1" x14ac:dyDescent="0.35">
      <c r="A26" s="28" t="s">
        <v>10</v>
      </c>
      <c r="B26" s="52" t="s">
        <v>80</v>
      </c>
      <c r="C26" s="17">
        <v>1</v>
      </c>
      <c r="D26" s="39">
        <v>46048</v>
      </c>
      <c r="E26" s="39">
        <v>46059</v>
      </c>
      <c r="F26" s="61" t="s">
        <v>97</v>
      </c>
      <c r="G26" s="61">
        <v>2</v>
      </c>
      <c r="H26" s="8" t="e">
        <f t="shared" si="121"/>
        <v>#REF!</v>
      </c>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133"/>
      <c r="DY26" s="133"/>
      <c r="DZ26" s="133"/>
      <c r="EA26" s="133"/>
      <c r="EB26" s="133"/>
      <c r="EC26" s="133"/>
      <c r="ED26" s="133"/>
      <c r="EE26" s="133"/>
      <c r="EF26" s="133"/>
      <c r="EG26" s="133"/>
      <c r="EH26" s="133"/>
      <c r="EI26" s="133"/>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row>
    <row r="27" spans="1:232" ht="30" customHeight="1" thickBot="1" x14ac:dyDescent="0.35">
      <c r="B27" s="52" t="s">
        <v>81</v>
      </c>
      <c r="C27" s="17">
        <v>1</v>
      </c>
      <c r="D27" s="39">
        <v>46062</v>
      </c>
      <c r="E27" s="39">
        <v>46080</v>
      </c>
      <c r="F27" s="61" t="s">
        <v>94</v>
      </c>
      <c r="G27" s="61">
        <v>0</v>
      </c>
      <c r="H27" s="8" t="e">
        <f t="shared" si="121"/>
        <v>#REF!</v>
      </c>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133"/>
      <c r="EM27" s="133"/>
      <c r="EN27" s="133"/>
      <c r="EO27" s="133"/>
      <c r="EP27" s="133"/>
      <c r="EQ27" s="133"/>
      <c r="ER27" s="133"/>
      <c r="ES27" s="133"/>
      <c r="ET27" s="133"/>
      <c r="EU27" s="133"/>
      <c r="EV27" s="133"/>
      <c r="EW27" s="133"/>
      <c r="EX27" s="133"/>
      <c r="EY27" s="133"/>
      <c r="EZ27" s="133"/>
      <c r="FA27" s="133"/>
      <c r="FB27" s="133"/>
      <c r="FC27" s="133"/>
      <c r="FD27" s="133"/>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row>
    <row r="28" spans="1:232" ht="30" customHeight="1" thickBot="1" x14ac:dyDescent="0.35">
      <c r="B28" s="52" t="s">
        <v>62</v>
      </c>
      <c r="C28" s="17">
        <v>1</v>
      </c>
      <c r="D28" s="39">
        <v>46069</v>
      </c>
      <c r="E28" s="39">
        <v>46087</v>
      </c>
      <c r="F28" s="61" t="s">
        <v>94</v>
      </c>
      <c r="G28" s="61">
        <v>0</v>
      </c>
      <c r="H28" s="8" t="e">
        <f t="shared" si="121"/>
        <v>#REF!</v>
      </c>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133"/>
      <c r="ET28" s="133"/>
      <c r="EU28" s="133"/>
      <c r="EV28" s="133"/>
      <c r="EW28" s="133"/>
      <c r="EX28" s="133"/>
      <c r="EY28" s="133"/>
      <c r="EZ28" s="133"/>
      <c r="FA28" s="133"/>
      <c r="FB28" s="133"/>
      <c r="FC28" s="133"/>
      <c r="FD28" s="133"/>
      <c r="FE28" s="133"/>
      <c r="FF28" s="133"/>
      <c r="FG28" s="133"/>
      <c r="FH28" s="133"/>
      <c r="FI28" s="133"/>
      <c r="FJ28" s="133"/>
      <c r="FK28" s="133"/>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row>
    <row r="29" spans="1:232" ht="30" customHeight="1" thickBot="1" x14ac:dyDescent="0.35">
      <c r="B29" s="52" t="s">
        <v>82</v>
      </c>
      <c r="C29" s="17">
        <v>1</v>
      </c>
      <c r="D29" s="39">
        <v>46076</v>
      </c>
      <c r="E29" s="39">
        <v>46094</v>
      </c>
      <c r="F29" s="61" t="s">
        <v>94</v>
      </c>
      <c r="G29" s="61">
        <v>0</v>
      </c>
      <c r="H29" s="8" t="e">
        <f t="shared" si="121"/>
        <v>#REF!</v>
      </c>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133"/>
      <c r="FA29" s="134"/>
      <c r="FB29" s="133"/>
      <c r="FC29" s="133"/>
      <c r="FD29" s="133"/>
      <c r="FE29" s="133"/>
      <c r="FF29" s="133"/>
      <c r="FG29" s="133"/>
      <c r="FH29" s="133"/>
      <c r="FI29" s="133"/>
      <c r="FJ29" s="133"/>
      <c r="FK29" s="133"/>
      <c r="FL29" s="133"/>
      <c r="FM29" s="133"/>
      <c r="FN29" s="133"/>
      <c r="FO29" s="133"/>
      <c r="FP29" s="133"/>
      <c r="FQ29" s="133"/>
      <c r="FR29" s="133"/>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row>
    <row r="30" spans="1:232" ht="30" customHeight="1" thickBot="1" x14ac:dyDescent="0.35">
      <c r="B30" s="52" t="s">
        <v>83</v>
      </c>
      <c r="C30" s="17">
        <v>1</v>
      </c>
      <c r="D30" s="39">
        <v>46090</v>
      </c>
      <c r="E30" s="39">
        <v>46094</v>
      </c>
      <c r="F30" s="61" t="s">
        <v>92</v>
      </c>
      <c r="G30" s="61">
        <v>0</v>
      </c>
      <c r="H30" s="8" t="e">
        <f t="shared" si="121"/>
        <v>#REF!</v>
      </c>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133"/>
      <c r="FO30" s="133"/>
      <c r="FP30" s="133"/>
      <c r="FQ30" s="133"/>
      <c r="FR30" s="133"/>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row>
    <row r="31" spans="1:232" ht="30" customHeight="1" thickBot="1" x14ac:dyDescent="0.35">
      <c r="B31" s="18" t="s">
        <v>63</v>
      </c>
      <c r="C31" s="19"/>
      <c r="D31" s="40"/>
      <c r="E31" s="41"/>
      <c r="F31" s="62"/>
      <c r="G31" s="62"/>
      <c r="H31" s="8" t="str">
        <f t="shared" ref="H31:H35" si="122">IF(OR(ISBLANK(task_start),ISBLANK(task_end)),"",task_end-task_start+1)</f>
        <v/>
      </c>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69"/>
      <c r="FV31" s="69"/>
      <c r="FW31" s="69"/>
      <c r="FX31" s="69"/>
      <c r="FY31" s="69"/>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row>
    <row r="32" spans="1:232" ht="30" customHeight="1" thickBot="1" x14ac:dyDescent="0.35">
      <c r="B32" s="53" t="s">
        <v>84</v>
      </c>
      <c r="C32" s="20">
        <v>1</v>
      </c>
      <c r="D32" s="42">
        <v>46097</v>
      </c>
      <c r="E32" s="42">
        <v>46099</v>
      </c>
      <c r="F32" s="63" t="s">
        <v>95</v>
      </c>
      <c r="G32" s="63">
        <v>0</v>
      </c>
      <c r="H32" s="8" t="e">
        <f t="shared" si="122"/>
        <v>#REF!</v>
      </c>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135"/>
      <c r="FV32" s="135"/>
      <c r="FW32" s="135"/>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row>
    <row r="33" spans="2:232" ht="30" customHeight="1" thickBot="1" x14ac:dyDescent="0.35">
      <c r="B33" s="53" t="s">
        <v>85</v>
      </c>
      <c r="C33" s="20">
        <v>1</v>
      </c>
      <c r="D33" s="42">
        <v>46100</v>
      </c>
      <c r="E33" s="42">
        <v>46101</v>
      </c>
      <c r="F33" s="63" t="s">
        <v>96</v>
      </c>
      <c r="G33" s="63">
        <v>0</v>
      </c>
      <c r="H33" s="8" t="e">
        <f t="shared" si="122"/>
        <v>#REF!</v>
      </c>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135"/>
      <c r="FY33" s="135"/>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row>
    <row r="34" spans="2:232" ht="30" customHeight="1" thickBot="1" x14ac:dyDescent="0.35">
      <c r="B34" s="54" t="s">
        <v>86</v>
      </c>
      <c r="C34" s="20">
        <v>1</v>
      </c>
      <c r="D34" s="42">
        <v>46097</v>
      </c>
      <c r="E34" s="42">
        <v>46099</v>
      </c>
      <c r="F34" s="63" t="s">
        <v>95</v>
      </c>
      <c r="G34" s="63">
        <v>2</v>
      </c>
      <c r="H34" s="8" t="e">
        <f t="shared" si="122"/>
        <v>#REF!</v>
      </c>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135"/>
      <c r="FV34" s="135"/>
      <c r="FW34" s="135"/>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row>
    <row r="35" spans="2:232" ht="30" customHeight="1" thickBot="1" x14ac:dyDescent="0.35">
      <c r="B35" s="53" t="s">
        <v>87</v>
      </c>
      <c r="C35" s="20">
        <v>1</v>
      </c>
      <c r="D35" s="42">
        <v>46100</v>
      </c>
      <c r="E35" s="42">
        <v>46101</v>
      </c>
      <c r="F35" s="63" t="s">
        <v>96</v>
      </c>
      <c r="G35" s="63">
        <v>0</v>
      </c>
      <c r="H35" s="8" t="e">
        <f t="shared" si="122"/>
        <v>#REF!</v>
      </c>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135"/>
      <c r="FY35" s="135"/>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row>
    <row r="36" spans="2:232" ht="30" customHeight="1" thickBot="1" x14ac:dyDescent="0.35">
      <c r="B36" s="98" t="s">
        <v>64</v>
      </c>
      <c r="C36" s="99"/>
      <c r="D36" s="100"/>
      <c r="E36" s="101"/>
      <c r="F36" s="102"/>
      <c r="G36" s="102"/>
      <c r="H36" s="8" t="str">
        <f t="shared" ref="H36:H40" si="123">IF(OR(ISBLANK(task_start),ISBLANK(task_end)),"",task_end-task_start+1)</f>
        <v/>
      </c>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c r="BW36" s="136"/>
      <c r="BX36" s="136"/>
      <c r="BY36" s="136"/>
      <c r="BZ36" s="136"/>
      <c r="CA36" s="136"/>
      <c r="CB36" s="136"/>
      <c r="CC36" s="136"/>
      <c r="CD36" s="136"/>
      <c r="CE36" s="136"/>
      <c r="CF36" s="136"/>
      <c r="CG36" s="136"/>
      <c r="CH36" s="136"/>
      <c r="CI36" s="136"/>
      <c r="CJ36" s="136"/>
      <c r="CK36" s="136"/>
      <c r="CL36" s="136"/>
      <c r="CM36" s="136"/>
      <c r="CN36" s="136"/>
      <c r="CO36" s="136"/>
      <c r="CP36" s="136"/>
      <c r="CQ36" s="136"/>
      <c r="CR36" s="136"/>
      <c r="CS36" s="136"/>
      <c r="CT36" s="136"/>
      <c r="CU36" s="136"/>
      <c r="CV36" s="136"/>
      <c r="CW36" s="136"/>
      <c r="CX36" s="136"/>
      <c r="CY36" s="136"/>
      <c r="CZ36" s="136"/>
      <c r="DA36" s="136"/>
      <c r="DB36" s="136"/>
      <c r="DC36" s="136"/>
      <c r="DD36" s="136"/>
      <c r="DE36" s="136"/>
      <c r="DF36" s="136"/>
      <c r="DG36" s="136"/>
      <c r="DH36" s="136"/>
      <c r="DI36" s="136"/>
      <c r="DJ36" s="136"/>
      <c r="DK36" s="136"/>
      <c r="DL36" s="136"/>
      <c r="DM36" s="136"/>
      <c r="DN36" s="136"/>
      <c r="DO36" s="136"/>
      <c r="DP36" s="136"/>
      <c r="DQ36" s="136"/>
      <c r="DR36" s="136"/>
      <c r="DS36" s="136"/>
      <c r="DT36" s="136"/>
      <c r="DU36" s="136"/>
      <c r="DV36" s="136"/>
      <c r="DW36" s="136"/>
      <c r="DX36" s="136"/>
      <c r="DY36" s="136"/>
      <c r="DZ36" s="136"/>
      <c r="EA36" s="136"/>
      <c r="EB36" s="136"/>
      <c r="EC36" s="136"/>
      <c r="ED36" s="136"/>
      <c r="EE36" s="136"/>
      <c r="EF36" s="136"/>
      <c r="EG36" s="136"/>
      <c r="EH36" s="136"/>
      <c r="EI36" s="136"/>
      <c r="EJ36" s="136"/>
      <c r="EK36" s="136"/>
      <c r="EL36" s="136"/>
      <c r="EM36" s="136"/>
      <c r="EN36" s="136"/>
      <c r="EO36" s="136"/>
      <c r="EP36" s="136"/>
      <c r="EQ36" s="136"/>
      <c r="ER36" s="136"/>
      <c r="ES36" s="136"/>
      <c r="ET36" s="136"/>
      <c r="EU36" s="136"/>
      <c r="EV36" s="136"/>
      <c r="EW36" s="136"/>
      <c r="EX36" s="136"/>
      <c r="EY36" s="136"/>
      <c r="EZ36" s="136"/>
      <c r="FA36" s="136"/>
      <c r="FB36" s="136"/>
      <c r="FC36" s="136"/>
      <c r="FD36" s="136"/>
      <c r="FE36" s="136"/>
      <c r="FF36" s="136"/>
      <c r="FG36" s="136"/>
      <c r="FH36" s="136"/>
      <c r="FI36" s="136"/>
      <c r="FJ36" s="136"/>
      <c r="FK36" s="136"/>
      <c r="FL36" s="136"/>
      <c r="FM36" s="136"/>
      <c r="FN36" s="136"/>
      <c r="FO36" s="136"/>
      <c r="FP36" s="136"/>
      <c r="FQ36" s="136"/>
      <c r="FR36" s="136"/>
      <c r="FS36" s="136"/>
      <c r="FT36" s="136"/>
      <c r="FU36" s="136"/>
      <c r="FV36" s="136"/>
      <c r="FW36" s="136"/>
      <c r="FX36" s="136"/>
      <c r="FY36" s="136"/>
      <c r="FZ36" s="136"/>
      <c r="GA36" s="136"/>
      <c r="GB36" s="136"/>
      <c r="GC36" s="136"/>
      <c r="GD36" s="136"/>
      <c r="GE36" s="136"/>
      <c r="GF36" s="136"/>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c r="HE36" s="24"/>
      <c r="HF36" s="24"/>
      <c r="HG36" s="24"/>
      <c r="HH36" s="24"/>
      <c r="HI36" s="24"/>
      <c r="HJ36" s="24"/>
      <c r="HK36" s="24"/>
      <c r="HL36" s="24"/>
      <c r="HM36" s="24"/>
      <c r="HN36" s="24"/>
      <c r="HO36" s="24"/>
      <c r="HP36" s="24"/>
      <c r="HQ36" s="24"/>
      <c r="HR36" s="24"/>
      <c r="HS36" s="24"/>
      <c r="HT36" s="24"/>
      <c r="HU36" s="24"/>
      <c r="HV36" s="24"/>
      <c r="HW36" s="24"/>
      <c r="HX36" s="24"/>
    </row>
    <row r="37" spans="2:232" ht="30" customHeight="1" thickBot="1" x14ac:dyDescent="0.35">
      <c r="B37" s="103" t="s">
        <v>65</v>
      </c>
      <c r="C37" s="104">
        <v>1</v>
      </c>
      <c r="D37" s="105">
        <v>46105</v>
      </c>
      <c r="E37" s="105">
        <v>46105</v>
      </c>
      <c r="F37" s="106" t="s">
        <v>100</v>
      </c>
      <c r="G37" s="106">
        <v>0</v>
      </c>
      <c r="H37" s="8" t="e">
        <f t="shared" si="123"/>
        <v>#REF!</v>
      </c>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137"/>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c r="HK37" s="24"/>
      <c r="HL37" s="24"/>
      <c r="HM37" s="24"/>
      <c r="HN37" s="24"/>
      <c r="HO37" s="24"/>
      <c r="HP37" s="24"/>
      <c r="HQ37" s="24"/>
      <c r="HR37" s="24"/>
      <c r="HS37" s="24"/>
      <c r="HT37" s="24"/>
      <c r="HU37" s="24"/>
      <c r="HV37" s="24"/>
      <c r="HW37" s="24"/>
      <c r="HX37" s="24"/>
    </row>
    <row r="38" spans="2:232" ht="30" customHeight="1" thickBot="1" x14ac:dyDescent="0.35">
      <c r="B38" s="103" t="s">
        <v>66</v>
      </c>
      <c r="C38" s="104">
        <v>1</v>
      </c>
      <c r="D38" s="105">
        <v>45957</v>
      </c>
      <c r="E38" s="105">
        <v>45968</v>
      </c>
      <c r="F38" s="145" t="s">
        <v>101</v>
      </c>
      <c r="G38" s="106">
        <v>60</v>
      </c>
      <c r="H38" s="8" t="e">
        <f t="shared" si="123"/>
        <v>#REF!</v>
      </c>
      <c r="I38" s="24"/>
      <c r="J38" s="24"/>
      <c r="K38" s="24"/>
      <c r="L38" s="24"/>
      <c r="M38" s="24"/>
      <c r="N38" s="24"/>
      <c r="O38" s="24"/>
      <c r="P38" s="24"/>
      <c r="Q38" s="24"/>
      <c r="R38" s="24"/>
      <c r="S38" s="24"/>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row>
    <row r="39" spans="2:232" ht="30" customHeight="1" thickBot="1" x14ac:dyDescent="0.35">
      <c r="B39" s="103" t="s">
        <v>67</v>
      </c>
      <c r="C39" s="104">
        <v>1</v>
      </c>
      <c r="D39" s="105">
        <v>45957</v>
      </c>
      <c r="E39" s="105">
        <v>45975</v>
      </c>
      <c r="F39" s="145" t="s">
        <v>101</v>
      </c>
      <c r="G39" s="106">
        <v>60</v>
      </c>
      <c r="H39" s="8" t="e">
        <f t="shared" si="123"/>
        <v>#REF!</v>
      </c>
      <c r="I39" s="24"/>
      <c r="J39" s="24"/>
      <c r="K39" s="24"/>
      <c r="L39" s="24"/>
      <c r="M39" s="24"/>
      <c r="N39" s="24"/>
      <c r="O39" s="24"/>
      <c r="P39" s="24"/>
      <c r="Q39" s="24"/>
      <c r="R39" s="24"/>
      <c r="S39" s="24"/>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c r="HM39" s="24"/>
      <c r="HN39" s="24"/>
      <c r="HO39" s="24"/>
      <c r="HP39" s="24"/>
      <c r="HQ39" s="24"/>
      <c r="HR39" s="24"/>
      <c r="HS39" s="24"/>
      <c r="HT39" s="24"/>
      <c r="HU39" s="24"/>
      <c r="HV39" s="24"/>
      <c r="HW39" s="24"/>
      <c r="HX39" s="24"/>
    </row>
    <row r="40" spans="2:232" ht="30" customHeight="1" thickBot="1" x14ac:dyDescent="0.35">
      <c r="B40" s="103" t="s">
        <v>68</v>
      </c>
      <c r="C40" s="104">
        <v>1</v>
      </c>
      <c r="D40" s="105">
        <v>45978</v>
      </c>
      <c r="E40" s="105">
        <v>46094</v>
      </c>
      <c r="F40" s="145" t="s">
        <v>101</v>
      </c>
      <c r="G40" s="106">
        <v>10</v>
      </c>
      <c r="H40" s="8" t="e">
        <f t="shared" si="123"/>
        <v>#REF!</v>
      </c>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137"/>
      <c r="BG40" s="137"/>
      <c r="BH40" s="137"/>
      <c r="BI40" s="137"/>
      <c r="BJ40" s="137"/>
      <c r="BK40" s="137"/>
      <c r="BL40" s="137"/>
      <c r="BM40" s="137"/>
      <c r="BN40" s="137"/>
      <c r="BO40" s="137"/>
      <c r="BP40" s="137"/>
      <c r="BQ40" s="137"/>
      <c r="BR40" s="137"/>
      <c r="BS40" s="137"/>
      <c r="BT40" s="137"/>
      <c r="BU40" s="137"/>
      <c r="BV40" s="137"/>
      <c r="BW40" s="137"/>
      <c r="BX40" s="137"/>
      <c r="BY40" s="137"/>
      <c r="BZ40" s="137"/>
      <c r="CA40" s="137"/>
      <c r="CB40" s="137"/>
      <c r="CC40" s="137"/>
      <c r="CD40" s="137"/>
      <c r="CE40" s="137"/>
      <c r="CF40" s="137"/>
      <c r="CG40" s="137"/>
      <c r="CH40" s="137"/>
      <c r="CI40" s="137"/>
      <c r="CJ40" s="137"/>
      <c r="CK40" s="137"/>
      <c r="CL40" s="137"/>
      <c r="CM40" s="137"/>
      <c r="CN40" s="137"/>
      <c r="CO40" s="137"/>
      <c r="CP40" s="137"/>
      <c r="CQ40" s="137"/>
      <c r="CR40" s="137"/>
      <c r="CS40" s="137"/>
      <c r="CT40" s="137"/>
      <c r="CU40" s="137"/>
      <c r="CV40" s="137"/>
      <c r="CW40" s="137"/>
      <c r="CX40" s="137"/>
      <c r="CY40" s="137"/>
      <c r="CZ40" s="137"/>
      <c r="DA40" s="137"/>
      <c r="DB40" s="137"/>
      <c r="DC40" s="137"/>
      <c r="DD40" s="137"/>
      <c r="DE40" s="137"/>
      <c r="DF40" s="137"/>
      <c r="DG40" s="137"/>
      <c r="DH40" s="137"/>
      <c r="DI40" s="137"/>
      <c r="DJ40" s="137"/>
      <c r="DK40" s="137"/>
      <c r="DL40" s="137"/>
      <c r="DM40" s="137"/>
      <c r="DN40" s="137"/>
      <c r="DO40" s="137"/>
      <c r="DP40" s="137"/>
      <c r="DQ40" s="137"/>
      <c r="DR40" s="137"/>
      <c r="DS40" s="137"/>
      <c r="DT40" s="137"/>
      <c r="DU40" s="137"/>
      <c r="DV40" s="137"/>
      <c r="DW40" s="137"/>
      <c r="DX40" s="137"/>
      <c r="DY40" s="137"/>
      <c r="DZ40" s="137"/>
      <c r="EA40" s="137"/>
      <c r="EB40" s="137"/>
      <c r="EC40" s="137"/>
      <c r="ED40" s="137"/>
      <c r="EE40" s="137"/>
      <c r="EF40" s="137"/>
      <c r="EG40" s="137"/>
      <c r="EH40" s="137"/>
      <c r="EI40" s="137"/>
      <c r="EJ40" s="137"/>
      <c r="EK40" s="137"/>
      <c r="EL40" s="137"/>
      <c r="EM40" s="137"/>
      <c r="EN40" s="137"/>
      <c r="EO40" s="137"/>
      <c r="EP40" s="137"/>
      <c r="EQ40" s="137"/>
      <c r="ER40" s="137"/>
      <c r="ES40" s="137"/>
      <c r="ET40" s="137"/>
      <c r="EU40" s="137"/>
      <c r="EV40" s="137"/>
      <c r="EW40" s="137"/>
      <c r="EX40" s="137"/>
      <c r="EY40" s="137"/>
      <c r="EZ40" s="137"/>
      <c r="FA40" s="137"/>
      <c r="FB40" s="137"/>
      <c r="FC40" s="137"/>
      <c r="FD40" s="137"/>
      <c r="FE40" s="137"/>
      <c r="FF40" s="137"/>
      <c r="FG40" s="137"/>
      <c r="FH40" s="137"/>
      <c r="FI40" s="137"/>
      <c r="FJ40" s="137"/>
      <c r="FK40" s="137"/>
      <c r="FL40" s="137"/>
      <c r="FM40" s="137"/>
      <c r="FN40" s="137"/>
      <c r="FO40" s="137"/>
      <c r="FP40" s="137"/>
      <c r="FQ40" s="137"/>
      <c r="FR40" s="137"/>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c r="HM40" s="24"/>
      <c r="HN40" s="24"/>
      <c r="HO40" s="24"/>
      <c r="HP40" s="24"/>
      <c r="HQ40" s="24"/>
      <c r="HR40" s="24"/>
      <c r="HS40" s="24"/>
      <c r="HT40" s="24"/>
      <c r="HU40" s="24"/>
      <c r="HV40" s="24"/>
      <c r="HW40" s="24"/>
      <c r="HX40" s="24"/>
    </row>
    <row r="41" spans="2:232" ht="30" customHeight="1" thickBot="1" x14ac:dyDescent="0.35">
      <c r="B41" s="103" t="s">
        <v>69</v>
      </c>
      <c r="C41" s="104">
        <v>1</v>
      </c>
      <c r="D41" s="105">
        <v>46097</v>
      </c>
      <c r="E41" s="105">
        <v>46103</v>
      </c>
      <c r="F41" s="106" t="s">
        <v>99</v>
      </c>
      <c r="G41" s="106">
        <v>0</v>
      </c>
      <c r="H41" s="8" t="e">
        <f t="shared" ref="H41:H52" si="124">IF(OR(ISBLANK(task_start),ISBLANK(task_end)),"",task_end-task_start+1)</f>
        <v>#REF!</v>
      </c>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137"/>
      <c r="FV41" s="137"/>
      <c r="FW41" s="137"/>
      <c r="FX41" s="137"/>
      <c r="FY41" s="137"/>
      <c r="FZ41" s="137"/>
      <c r="GA41" s="137"/>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row>
    <row r="42" spans="2:232" ht="30" customHeight="1" thickBot="1" x14ac:dyDescent="0.35">
      <c r="B42" s="103" t="s">
        <v>70</v>
      </c>
      <c r="C42" s="104">
        <v>1</v>
      </c>
      <c r="D42" s="105">
        <v>46102</v>
      </c>
      <c r="E42" s="105">
        <v>46104</v>
      </c>
      <c r="F42" s="106" t="s">
        <v>95</v>
      </c>
      <c r="G42" s="106">
        <v>0</v>
      </c>
      <c r="H42" s="8" t="e">
        <f t="shared" si="124"/>
        <v>#REF!</v>
      </c>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137"/>
      <c r="GA42" s="137"/>
      <c r="GB42" s="137"/>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row>
    <row r="43" spans="2:232" ht="30" customHeight="1" thickBot="1" x14ac:dyDescent="0.35">
      <c r="B43" s="103" t="s">
        <v>89</v>
      </c>
      <c r="C43" s="104">
        <v>1</v>
      </c>
      <c r="D43" s="105">
        <v>46105</v>
      </c>
      <c r="E43" s="105">
        <v>46105</v>
      </c>
      <c r="F43" s="106" t="s">
        <v>100</v>
      </c>
      <c r="G43" s="106">
        <v>0</v>
      </c>
      <c r="H43" s="8" t="e">
        <f t="shared" si="124"/>
        <v>#REF!</v>
      </c>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137"/>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row>
    <row r="44" spans="2:232" ht="30" customHeight="1" thickBot="1" x14ac:dyDescent="0.35">
      <c r="B44" s="103" t="s">
        <v>71</v>
      </c>
      <c r="C44" s="104">
        <v>1</v>
      </c>
      <c r="D44" s="105">
        <v>45929</v>
      </c>
      <c r="E44" s="105">
        <v>46106</v>
      </c>
      <c r="F44" s="145" t="s">
        <v>101</v>
      </c>
      <c r="G44" s="106">
        <v>0</v>
      </c>
      <c r="H44" s="8" t="e">
        <f t="shared" si="124"/>
        <v>#REF!</v>
      </c>
      <c r="I44" s="137"/>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137"/>
      <c r="BU44" s="137"/>
      <c r="BV44" s="137"/>
      <c r="BW44" s="137"/>
      <c r="BX44" s="137"/>
      <c r="BY44" s="137"/>
      <c r="BZ44" s="137"/>
      <c r="CA44" s="137"/>
      <c r="CB44" s="137"/>
      <c r="CC44" s="137"/>
      <c r="CD44" s="137"/>
      <c r="CE44" s="137"/>
      <c r="CF44" s="137"/>
      <c r="CG44" s="137"/>
      <c r="CH44" s="137"/>
      <c r="CI44" s="137"/>
      <c r="CJ44" s="137"/>
      <c r="CK44" s="137"/>
      <c r="CL44" s="137"/>
      <c r="CM44" s="137"/>
      <c r="CN44" s="137"/>
      <c r="CO44" s="137"/>
      <c r="CP44" s="137"/>
      <c r="CQ44" s="137"/>
      <c r="CR44" s="137"/>
      <c r="CS44" s="137"/>
      <c r="CT44" s="137"/>
      <c r="CU44" s="137"/>
      <c r="CV44" s="137"/>
      <c r="CW44" s="137"/>
      <c r="CX44" s="137"/>
      <c r="CY44" s="137"/>
      <c r="CZ44" s="137"/>
      <c r="DA44" s="137"/>
      <c r="DB44" s="137"/>
      <c r="DC44" s="137"/>
      <c r="DD44" s="137"/>
      <c r="DE44" s="137"/>
      <c r="DF44" s="137"/>
      <c r="DG44" s="137"/>
      <c r="DH44" s="137"/>
      <c r="DI44" s="137"/>
      <c r="DJ44" s="137"/>
      <c r="DK44" s="137"/>
      <c r="DL44" s="137"/>
      <c r="DM44" s="137"/>
      <c r="DN44" s="137"/>
      <c r="DO44" s="137"/>
      <c r="DP44" s="137"/>
      <c r="DQ44" s="137"/>
      <c r="DR44" s="137"/>
      <c r="DS44" s="137"/>
      <c r="DT44" s="137"/>
      <c r="DU44" s="137"/>
      <c r="DV44" s="137"/>
      <c r="DW44" s="137"/>
      <c r="DX44" s="137"/>
      <c r="DY44" s="137"/>
      <c r="DZ44" s="137"/>
      <c r="EA44" s="137"/>
      <c r="EB44" s="137"/>
      <c r="EC44" s="137"/>
      <c r="ED44" s="137"/>
      <c r="EE44" s="137"/>
      <c r="EF44" s="137"/>
      <c r="EG44" s="137"/>
      <c r="EH44" s="137"/>
      <c r="EI44" s="137"/>
      <c r="EJ44" s="137"/>
      <c r="EK44" s="137"/>
      <c r="EL44" s="137"/>
      <c r="EM44" s="137"/>
      <c r="EN44" s="137"/>
      <c r="EO44" s="137"/>
      <c r="EP44" s="137"/>
      <c r="EQ44" s="137"/>
      <c r="ER44" s="137"/>
      <c r="ES44" s="137"/>
      <c r="ET44" s="137"/>
      <c r="EU44" s="137"/>
      <c r="EV44" s="137"/>
      <c r="EW44" s="137"/>
      <c r="EX44" s="137"/>
      <c r="EY44" s="137"/>
      <c r="EZ44" s="137"/>
      <c r="FA44" s="137"/>
      <c r="FB44" s="137"/>
      <c r="FC44" s="137"/>
      <c r="FD44" s="137"/>
      <c r="FE44" s="137"/>
      <c r="FF44" s="137"/>
      <c r="FG44" s="137"/>
      <c r="FH44" s="137"/>
      <c r="FI44" s="137"/>
      <c r="FJ44" s="137"/>
      <c r="FK44" s="137"/>
      <c r="FL44" s="137"/>
      <c r="FM44" s="137"/>
      <c r="FN44" s="137"/>
      <c r="FO44" s="137"/>
      <c r="FP44" s="137"/>
      <c r="FQ44" s="137"/>
      <c r="FR44" s="137"/>
      <c r="FS44" s="137"/>
      <c r="FT44" s="137"/>
      <c r="FU44" s="137"/>
      <c r="FV44" s="137"/>
      <c r="FW44" s="137"/>
      <c r="FX44" s="137"/>
      <c r="FY44" s="137"/>
      <c r="FZ44" s="137"/>
      <c r="GA44" s="137"/>
      <c r="GB44" s="137"/>
      <c r="GC44" s="137"/>
      <c r="GD44" s="137"/>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row>
    <row r="45" spans="2:232" ht="30" customHeight="1" thickBot="1" x14ac:dyDescent="0.35">
      <c r="B45" s="103" t="s">
        <v>72</v>
      </c>
      <c r="C45" s="104">
        <v>1</v>
      </c>
      <c r="D45" s="105">
        <v>46104</v>
      </c>
      <c r="E45" s="105">
        <v>46106</v>
      </c>
      <c r="F45" s="106" t="s">
        <v>95</v>
      </c>
      <c r="G45" s="106">
        <v>0</v>
      </c>
      <c r="H45" s="8" t="e">
        <f t="shared" si="124"/>
        <v>#REF!</v>
      </c>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137"/>
      <c r="GC45" s="137"/>
      <c r="GD45" s="137"/>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row>
    <row r="46" spans="2:232" ht="30" customHeight="1" thickBot="1" x14ac:dyDescent="0.35">
      <c r="B46" s="103" t="s">
        <v>88</v>
      </c>
      <c r="C46" s="104">
        <v>1</v>
      </c>
      <c r="D46" s="105">
        <v>46106</v>
      </c>
      <c r="E46" s="105">
        <v>46107</v>
      </c>
      <c r="F46" s="106" t="s">
        <v>96</v>
      </c>
      <c r="G46" s="106">
        <v>0</v>
      </c>
      <c r="H46" s="8" t="e">
        <f t="shared" si="124"/>
        <v>#REF!</v>
      </c>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137"/>
      <c r="GE46" s="137"/>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row>
    <row r="47" spans="2:232" ht="30" customHeight="1" thickBot="1" x14ac:dyDescent="0.35">
      <c r="B47" s="125" t="s">
        <v>105</v>
      </c>
      <c r="C47" s="126">
        <v>0</v>
      </c>
      <c r="D47" s="127">
        <v>46108</v>
      </c>
      <c r="E47" s="127">
        <v>46108</v>
      </c>
      <c r="F47" s="128" t="s">
        <v>100</v>
      </c>
      <c r="G47" s="128">
        <v>0</v>
      </c>
      <c r="H47" s="8" t="e">
        <f t="shared" si="124"/>
        <v>#REF!</v>
      </c>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138"/>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row>
    <row r="48" spans="2:232" ht="30" customHeight="1" thickBot="1" x14ac:dyDescent="0.35">
      <c r="B48" s="107" t="s">
        <v>73</v>
      </c>
      <c r="C48" s="108"/>
      <c r="D48" s="109" t="s">
        <v>47</v>
      </c>
      <c r="E48" s="110"/>
      <c r="F48" s="111"/>
      <c r="G48" s="111"/>
      <c r="H48" s="8" t="e">
        <f t="shared" si="124"/>
        <v>#REF!</v>
      </c>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139"/>
      <c r="GX48" s="139"/>
      <c r="GY48" s="139"/>
      <c r="GZ48" s="139"/>
      <c r="HA48" s="139"/>
      <c r="HB48" s="139"/>
      <c r="HC48" s="139"/>
      <c r="HD48" s="139"/>
      <c r="HE48" s="139"/>
      <c r="HF48" s="139"/>
      <c r="HG48" s="139"/>
      <c r="HH48" s="139"/>
      <c r="HI48" s="139"/>
      <c r="HJ48" s="139"/>
      <c r="HK48" s="139"/>
      <c r="HL48" s="139"/>
      <c r="HM48" s="139"/>
      <c r="HN48" s="139"/>
      <c r="HO48" s="139"/>
      <c r="HP48" s="139"/>
      <c r="HQ48" s="139"/>
      <c r="HR48" s="139"/>
      <c r="HS48" s="139"/>
      <c r="HT48" s="139"/>
      <c r="HU48" s="139"/>
      <c r="HV48" s="139"/>
      <c r="HW48" s="24"/>
      <c r="HX48" s="24"/>
    </row>
    <row r="49" spans="2:232" ht="30" customHeight="1" thickBot="1" x14ac:dyDescent="0.35">
      <c r="B49" s="112" t="s">
        <v>75</v>
      </c>
      <c r="C49" s="113">
        <v>0</v>
      </c>
      <c r="D49" s="114">
        <v>46125</v>
      </c>
      <c r="E49" s="114">
        <v>46136</v>
      </c>
      <c r="F49" s="115" t="s">
        <v>97</v>
      </c>
      <c r="G49" s="115">
        <v>2</v>
      </c>
      <c r="H49" s="8" t="e">
        <f t="shared" si="124"/>
        <v>#REF!</v>
      </c>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140"/>
      <c r="GX49" s="140"/>
      <c r="GY49" s="140"/>
      <c r="GZ49" s="140"/>
      <c r="HA49" s="140"/>
      <c r="HB49" s="140"/>
      <c r="HC49" s="140"/>
      <c r="HD49" s="140"/>
      <c r="HE49" s="140"/>
      <c r="HF49" s="140"/>
      <c r="HG49" s="140"/>
      <c r="HH49" s="140"/>
      <c r="HI49" s="24"/>
      <c r="HJ49" s="24"/>
      <c r="HK49" s="24"/>
      <c r="HL49" s="24"/>
      <c r="HM49" s="24"/>
      <c r="HN49" s="24"/>
      <c r="HO49" s="24"/>
      <c r="HP49" s="24"/>
      <c r="HQ49" s="24"/>
      <c r="HR49" s="24"/>
      <c r="HS49" s="24"/>
      <c r="HT49" s="24"/>
      <c r="HU49" s="24"/>
      <c r="HV49" s="24"/>
      <c r="HW49" s="24"/>
      <c r="HX49" s="24"/>
    </row>
    <row r="50" spans="2:232" ht="30" customHeight="1" thickBot="1" x14ac:dyDescent="0.35">
      <c r="B50" s="129" t="s">
        <v>74</v>
      </c>
      <c r="C50" s="130">
        <v>0</v>
      </c>
      <c r="D50" s="131">
        <v>46139</v>
      </c>
      <c r="E50" s="131">
        <v>46150</v>
      </c>
      <c r="F50" s="132" t="s">
        <v>97</v>
      </c>
      <c r="G50" s="132">
        <v>0</v>
      </c>
      <c r="H50" s="8" t="e">
        <f t="shared" si="124"/>
        <v>#REF!</v>
      </c>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141"/>
      <c r="HL50" s="142"/>
      <c r="HM50" s="141"/>
      <c r="HN50" s="141"/>
      <c r="HO50" s="141"/>
      <c r="HP50" s="141"/>
      <c r="HQ50" s="141"/>
      <c r="HR50" s="141"/>
      <c r="HS50" s="141"/>
      <c r="HT50" s="141"/>
      <c r="HU50" s="141"/>
      <c r="HV50" s="141"/>
      <c r="HW50" s="24"/>
      <c r="HX50" s="24"/>
    </row>
    <row r="51" spans="2:232" ht="30" customHeight="1" thickBot="1" x14ac:dyDescent="0.35">
      <c r="B51" s="29"/>
      <c r="C51" s="7"/>
      <c r="D51" s="43"/>
      <c r="E51" s="43"/>
      <c r="F51" s="64"/>
      <c r="G51" s="64"/>
      <c r="H51" s="8" t="str">
        <f t="shared" si="124"/>
        <v/>
      </c>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row>
    <row r="52" spans="2:232" ht="30" customHeight="1" thickBot="1" x14ac:dyDescent="0.35">
      <c r="B52" s="21" t="s">
        <v>12</v>
      </c>
      <c r="C52" s="22"/>
      <c r="D52" s="44"/>
      <c r="E52" s="45"/>
      <c r="F52" s="65"/>
      <c r="G52" s="65"/>
      <c r="H52" s="23" t="str">
        <f t="shared" si="124"/>
        <v/>
      </c>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c r="GI52" s="26"/>
      <c r="GJ52" s="26"/>
      <c r="GK52" s="26"/>
      <c r="GL52" s="26"/>
      <c r="GM52" s="26"/>
      <c r="GN52" s="26"/>
      <c r="GO52" s="26"/>
      <c r="GP52" s="26"/>
      <c r="GQ52" s="26"/>
      <c r="GR52" s="26"/>
      <c r="GS52" s="26"/>
      <c r="GT52" s="26"/>
      <c r="GU52" s="26"/>
      <c r="GV52" s="26"/>
      <c r="GW52" s="26"/>
      <c r="GX52" s="26"/>
      <c r="GY52" s="26"/>
      <c r="GZ52" s="26"/>
      <c r="HA52" s="26"/>
      <c r="HB52" s="26"/>
      <c r="HC52" s="26"/>
      <c r="HD52" s="26"/>
      <c r="HE52" s="26"/>
      <c r="HF52" s="26"/>
      <c r="HG52" s="26"/>
      <c r="HH52" s="26"/>
      <c r="HI52" s="26"/>
      <c r="HJ52" s="26"/>
      <c r="HK52" s="26"/>
      <c r="HL52" s="26"/>
      <c r="HM52" s="26"/>
      <c r="HN52" s="26"/>
      <c r="HO52" s="26"/>
      <c r="HP52" s="26"/>
      <c r="HQ52" s="26"/>
      <c r="HR52" s="26"/>
      <c r="HS52" s="26"/>
      <c r="HT52" s="26"/>
      <c r="HU52" s="26"/>
      <c r="HV52" s="26"/>
      <c r="HW52" s="26"/>
      <c r="HX52" s="26"/>
    </row>
    <row r="53" spans="2:232" ht="30" customHeight="1" x14ac:dyDescent="0.3">
      <c r="FI53" t="s">
        <v>47</v>
      </c>
    </row>
  </sheetData>
  <mergeCells count="32">
    <mergeCell ref="GW1:HC1"/>
    <mergeCell ref="HD1:HJ1"/>
    <mergeCell ref="HK1:HQ1"/>
    <mergeCell ref="HR1:HX1"/>
    <mergeCell ref="FN1:FT1"/>
    <mergeCell ref="FU1:GA1"/>
    <mergeCell ref="GB1:GH1"/>
    <mergeCell ref="GI1:GO1"/>
    <mergeCell ref="GP1:GV1"/>
    <mergeCell ref="EE1:EK1"/>
    <mergeCell ref="EL1:ER1"/>
    <mergeCell ref="ES1:EY1"/>
    <mergeCell ref="EZ1:FF1"/>
    <mergeCell ref="FG1:FM1"/>
    <mergeCell ref="CV1:DB1"/>
    <mergeCell ref="DC1:DI1"/>
    <mergeCell ref="DJ1:DP1"/>
    <mergeCell ref="DQ1:DW1"/>
    <mergeCell ref="DX1:ED1"/>
    <mergeCell ref="BM1:BS1"/>
    <mergeCell ref="BT1:BZ1"/>
    <mergeCell ref="CA1:CG1"/>
    <mergeCell ref="CH1:CN1"/>
    <mergeCell ref="CO1:CU1"/>
    <mergeCell ref="AK1:AQ1"/>
    <mergeCell ref="AR1:AX1"/>
    <mergeCell ref="AY1:BE1"/>
    <mergeCell ref="BF1:BL1"/>
    <mergeCell ref="I1:O1"/>
    <mergeCell ref="P1:V1"/>
    <mergeCell ref="W1:AC1"/>
    <mergeCell ref="AD1:AJ1"/>
  </mergeCells>
  <conditionalFormatting sqref="C4:C52">
    <cfRule type="dataBar" priority="3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2:BL15 BM2:DP23 DQ2:FT28 FU4:HW49 I16:BE16 BH16:BL16 I17:BL52 BM24:BZ24 CC24:DP24 BM25:DP52 DQ29:EY29 FB29:FT29 DQ30:FT52 FU50:HJ50 HM50:HW50 FU51:HW52 FU2:HX3">
    <cfRule type="expression" dxfId="9" priority="51">
      <formula>AND(TODAY()&gt;=I$2,TODAY()&lt;J$2)</formula>
    </cfRule>
  </conditionalFormatting>
  <conditionalFormatting sqref="I4:BL15 BM4:DP23 DQ4:FT28 FU4:HW49 I16:BE16 BH16:BL16 I17:BL52 BM24:BZ24 CC24:DP24 BM25:DP52 DQ29:EY29 FB29:FT29 DQ30:FT52 FU50:HJ50 HM50:HW50 FU51:HW52">
    <cfRule type="expression" dxfId="8" priority="45">
      <formula>AND(task_start&lt;=I$2,ROUNDDOWN((task_end-task_start+1)*task_progress,0)+task_start-1&gt;=I$2)</formula>
    </cfRule>
    <cfRule type="expression" dxfId="7" priority="46" stopIfTrue="1">
      <formula>AND(task_end&gt;=I$2,task_start&lt;J$2)</formula>
    </cfRule>
  </conditionalFormatting>
  <conditionalFormatting sqref="BF16 CA24 EZ29 HK50">
    <cfRule type="expression" dxfId="6" priority="59">
      <formula>AND(TODAY()&gt;=BG$2,TODAY()&lt;BH$2)</formula>
    </cfRule>
    <cfRule type="expression" dxfId="5" priority="62">
      <formula>AND(task_start&lt;=BG$2,ROUNDDOWN((task_end-task_start+1)*task_progress,0)+task_start-1&gt;=BG$2)</formula>
    </cfRule>
    <cfRule type="expression" dxfId="4" priority="63" stopIfTrue="1">
      <formula>AND(task_end&gt;=BG$2,task_start&lt;BH$2)</formula>
    </cfRule>
  </conditionalFormatting>
  <conditionalFormatting sqref="HX4:HX52">
    <cfRule type="expression" dxfId="3" priority="53">
      <formula>AND(TODAY()&gt;=HX$2,TODAY()&lt;#REF!)</formula>
    </cfRule>
    <cfRule type="expression" dxfId="2" priority="56">
      <formula>AND(task_start&lt;=HX$2,ROUNDDOWN((task_end-task_start+1)*task_progress,0)+task_start-1&gt;=HX$2)</formula>
    </cfRule>
    <cfRule type="expression" dxfId="1" priority="57" stopIfTrue="1">
      <formula>AND(task_end&gt;=HX$2,task_start&lt;#REF!)</formula>
    </cfRule>
  </conditionalFormatting>
  <dataValidations count="1">
    <dataValidation type="whole" operator="greaterThanOrEqual" allowBlank="1" showInputMessage="1" promptTitle="Display Week" prompt="Changing this number will scroll the Gantt Chart view." sqref="D1 F1:G1" xr:uid="{00000000-0002-0000-0000-000000000000}">
      <formula1>1</formula1>
    </dataValidation>
  </dataValidations>
  <printOptions horizontalCentered="1"/>
  <pageMargins left="0.35" right="0.35" top="0.35" bottom="0.5" header="0.3" footer="0.3"/>
  <pageSetup paperSize="9" scale="21"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C4:C52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4E52-A4A4-4339-8C24-063E39977C12}">
  <sheetPr>
    <pageSetUpPr fitToPage="1"/>
  </sheetPr>
  <dimension ref="A1:J39"/>
  <sheetViews>
    <sheetView workbookViewId="0">
      <selection activeCell="I3" sqref="I3:J3"/>
    </sheetView>
  </sheetViews>
  <sheetFormatPr defaultRowHeight="14.4" x14ac:dyDescent="0.3"/>
  <cols>
    <col min="1" max="1" width="8.88671875" style="149"/>
    <col min="2" max="2" width="39.88671875" bestFit="1" customWidth="1"/>
    <col min="8" max="8" width="10" bestFit="1" customWidth="1"/>
    <col min="10" max="10" width="24.5546875" style="149" bestFit="1" customWidth="1"/>
  </cols>
  <sheetData>
    <row r="1" spans="1:10" x14ac:dyDescent="0.3">
      <c r="A1" s="147" t="s">
        <v>106</v>
      </c>
      <c r="B1" s="144" t="s">
        <v>107</v>
      </c>
      <c r="C1" s="144" t="s">
        <v>108</v>
      </c>
      <c r="D1" s="144" t="s">
        <v>109</v>
      </c>
      <c r="E1" s="144" t="s">
        <v>110</v>
      </c>
      <c r="F1" s="144" t="s">
        <v>111</v>
      </c>
      <c r="G1" s="144" t="s">
        <v>112</v>
      </c>
      <c r="H1" s="144" t="s">
        <v>152</v>
      </c>
      <c r="I1" s="144" t="s">
        <v>113</v>
      </c>
      <c r="J1" s="147" t="s">
        <v>153</v>
      </c>
    </row>
    <row r="2" spans="1:10" x14ac:dyDescent="0.3">
      <c r="A2" s="148">
        <v>1.1000000000000001</v>
      </c>
      <c r="B2" t="s">
        <v>114</v>
      </c>
      <c r="C2" s="2">
        <v>12</v>
      </c>
      <c r="D2" s="143">
        <v>1</v>
      </c>
      <c r="E2" s="143">
        <v>12</v>
      </c>
      <c r="F2" s="143">
        <v>15</v>
      </c>
      <c r="G2" s="143">
        <v>26</v>
      </c>
      <c r="H2" s="143">
        <v>14</v>
      </c>
      <c r="I2" t="str">
        <f>IF(H2 &gt; 0, "No", "Yes")</f>
        <v>No</v>
      </c>
      <c r="J2" s="150" t="s">
        <v>154</v>
      </c>
    </row>
    <row r="3" spans="1:10" x14ac:dyDescent="0.3">
      <c r="A3" s="148">
        <v>1.2</v>
      </c>
      <c r="B3" t="s">
        <v>115</v>
      </c>
      <c r="C3" s="2">
        <v>26</v>
      </c>
      <c r="D3" s="143">
        <v>1</v>
      </c>
      <c r="E3" s="143">
        <v>26</v>
      </c>
      <c r="F3" s="143">
        <v>3</v>
      </c>
      <c r="G3" s="143">
        <v>28</v>
      </c>
      <c r="H3" s="143">
        <v>2</v>
      </c>
      <c r="I3" t="str">
        <f t="shared" ref="I3:I39" si="0">IF(H3 &gt; 0, "No", "Yes")</f>
        <v>No</v>
      </c>
      <c r="J3" s="150">
        <v>1.1000000000000001</v>
      </c>
    </row>
    <row r="4" spans="1:10" x14ac:dyDescent="0.3">
      <c r="A4" s="148">
        <v>1.3</v>
      </c>
      <c r="B4" t="s">
        <v>116</v>
      </c>
      <c r="C4" s="2">
        <v>33</v>
      </c>
      <c r="D4" s="143">
        <v>8</v>
      </c>
      <c r="E4" s="143">
        <v>40</v>
      </c>
      <c r="F4" s="143">
        <v>8</v>
      </c>
      <c r="G4" s="143">
        <v>40</v>
      </c>
      <c r="H4" s="143">
        <v>0</v>
      </c>
      <c r="I4" t="str">
        <f t="shared" si="0"/>
        <v>Yes</v>
      </c>
      <c r="J4" s="150">
        <v>1.1000000000000001</v>
      </c>
    </row>
    <row r="5" spans="1:10" x14ac:dyDescent="0.3">
      <c r="A5" s="148">
        <v>1.4</v>
      </c>
      <c r="B5" t="s">
        <v>148</v>
      </c>
      <c r="C5" s="2">
        <v>1</v>
      </c>
      <c r="D5" s="143">
        <v>24</v>
      </c>
      <c r="E5" s="143">
        <v>24</v>
      </c>
      <c r="F5" s="143">
        <v>24</v>
      </c>
      <c r="G5" s="143">
        <v>24</v>
      </c>
      <c r="H5" s="143">
        <v>0</v>
      </c>
      <c r="I5" t="str">
        <f t="shared" si="0"/>
        <v>Yes</v>
      </c>
      <c r="J5" s="150" t="s">
        <v>155</v>
      </c>
    </row>
    <row r="6" spans="1:10" x14ac:dyDescent="0.3">
      <c r="A6" s="148">
        <v>2.1</v>
      </c>
      <c r="B6" t="s">
        <v>117</v>
      </c>
      <c r="C6" s="2">
        <v>5</v>
      </c>
      <c r="D6" s="143">
        <v>29</v>
      </c>
      <c r="E6" s="143">
        <v>33</v>
      </c>
      <c r="F6" s="143">
        <v>31</v>
      </c>
      <c r="G6" s="143">
        <v>35</v>
      </c>
      <c r="H6" s="143">
        <v>2</v>
      </c>
      <c r="I6" t="str">
        <f t="shared" si="0"/>
        <v>No</v>
      </c>
      <c r="J6" s="150">
        <v>1.4</v>
      </c>
    </row>
    <row r="7" spans="1:10" x14ac:dyDescent="0.3">
      <c r="A7" s="148">
        <v>2.2000000000000002</v>
      </c>
      <c r="B7" t="s">
        <v>118</v>
      </c>
      <c r="C7" s="2">
        <v>12</v>
      </c>
      <c r="D7" s="143">
        <v>36</v>
      </c>
      <c r="E7" s="143">
        <v>47</v>
      </c>
      <c r="F7" s="143">
        <v>36</v>
      </c>
      <c r="G7" s="143">
        <v>47</v>
      </c>
      <c r="H7" s="143">
        <v>0</v>
      </c>
      <c r="I7" t="str">
        <f t="shared" si="0"/>
        <v>Yes</v>
      </c>
      <c r="J7" s="150">
        <v>2.1</v>
      </c>
    </row>
    <row r="8" spans="1:10" x14ac:dyDescent="0.3">
      <c r="A8" s="148">
        <v>2.2999999999999998</v>
      </c>
      <c r="B8" t="s">
        <v>119</v>
      </c>
      <c r="C8" s="2">
        <v>5</v>
      </c>
      <c r="D8" s="143">
        <v>36</v>
      </c>
      <c r="E8" s="143">
        <v>40</v>
      </c>
      <c r="F8" s="143">
        <v>43</v>
      </c>
      <c r="G8" s="143">
        <v>47</v>
      </c>
      <c r="H8" s="143">
        <v>7</v>
      </c>
      <c r="I8" t="str">
        <f t="shared" si="0"/>
        <v>No</v>
      </c>
      <c r="J8" s="150">
        <v>2.1</v>
      </c>
    </row>
    <row r="9" spans="1:10" x14ac:dyDescent="0.3">
      <c r="A9" s="148">
        <v>2.4</v>
      </c>
      <c r="B9" t="s">
        <v>120</v>
      </c>
      <c r="C9" s="2">
        <v>5</v>
      </c>
      <c r="D9" s="143">
        <v>43</v>
      </c>
      <c r="E9" s="143">
        <v>47</v>
      </c>
      <c r="F9" s="143">
        <v>43</v>
      </c>
      <c r="G9" s="143">
        <v>47</v>
      </c>
      <c r="H9" s="143">
        <v>0</v>
      </c>
      <c r="I9" t="str">
        <f t="shared" si="0"/>
        <v>Yes</v>
      </c>
      <c r="J9" s="150" t="s">
        <v>156</v>
      </c>
    </row>
    <row r="10" spans="1:10" x14ac:dyDescent="0.3">
      <c r="A10" s="148">
        <v>3.1</v>
      </c>
      <c r="B10" t="s">
        <v>121</v>
      </c>
      <c r="C10" s="2">
        <v>5</v>
      </c>
      <c r="D10" s="143">
        <v>50</v>
      </c>
      <c r="E10" s="143">
        <v>54</v>
      </c>
      <c r="F10" s="143">
        <v>55</v>
      </c>
      <c r="G10" s="143">
        <v>59</v>
      </c>
      <c r="H10" s="143">
        <v>5</v>
      </c>
      <c r="I10" t="str">
        <f t="shared" si="0"/>
        <v>No</v>
      </c>
      <c r="J10" s="150">
        <v>2.4</v>
      </c>
    </row>
    <row r="11" spans="1:10" x14ac:dyDescent="0.3">
      <c r="A11" s="148">
        <v>3.2</v>
      </c>
      <c r="B11" t="s">
        <v>122</v>
      </c>
      <c r="C11" s="2">
        <v>12</v>
      </c>
      <c r="D11" s="143">
        <v>50</v>
      </c>
      <c r="E11" s="143">
        <v>61</v>
      </c>
      <c r="F11" s="143">
        <v>50</v>
      </c>
      <c r="G11" s="143">
        <v>61</v>
      </c>
      <c r="H11" s="143">
        <v>0</v>
      </c>
      <c r="I11" t="str">
        <f t="shared" si="0"/>
        <v>Yes</v>
      </c>
      <c r="J11" s="150">
        <v>2.4</v>
      </c>
    </row>
    <row r="12" spans="1:10" x14ac:dyDescent="0.3">
      <c r="A12" s="148">
        <v>3.3</v>
      </c>
      <c r="B12" t="s">
        <v>123</v>
      </c>
      <c r="C12" s="2">
        <v>5</v>
      </c>
      <c r="D12" s="143">
        <v>57</v>
      </c>
      <c r="E12" s="143">
        <v>61</v>
      </c>
      <c r="F12" s="143">
        <v>57</v>
      </c>
      <c r="G12" s="143">
        <v>61</v>
      </c>
      <c r="H12" s="143">
        <v>0</v>
      </c>
      <c r="I12" t="str">
        <f t="shared" si="0"/>
        <v>Yes</v>
      </c>
      <c r="J12" s="150" t="s">
        <v>166</v>
      </c>
    </row>
    <row r="13" spans="1:10" x14ac:dyDescent="0.3">
      <c r="A13" s="148">
        <v>3.4</v>
      </c>
      <c r="B13" t="s">
        <v>124</v>
      </c>
      <c r="C13" s="2">
        <v>3</v>
      </c>
      <c r="D13" s="143">
        <v>64</v>
      </c>
      <c r="E13" s="143">
        <v>66</v>
      </c>
      <c r="F13" s="143">
        <v>66</v>
      </c>
      <c r="G13" s="143">
        <v>68</v>
      </c>
      <c r="H13" s="143">
        <v>2</v>
      </c>
      <c r="I13" t="str">
        <f t="shared" si="0"/>
        <v>No</v>
      </c>
      <c r="J13" s="150" t="s">
        <v>165</v>
      </c>
    </row>
    <row r="14" spans="1:10" x14ac:dyDescent="0.3">
      <c r="A14" s="148">
        <v>3.5</v>
      </c>
      <c r="B14" t="s">
        <v>125</v>
      </c>
      <c r="C14" s="2">
        <v>2</v>
      </c>
      <c r="D14" s="143">
        <v>67</v>
      </c>
      <c r="E14" s="143">
        <v>68</v>
      </c>
      <c r="F14" s="143">
        <v>67</v>
      </c>
      <c r="G14" s="143">
        <v>68</v>
      </c>
      <c r="H14" s="143">
        <v>0</v>
      </c>
      <c r="I14" t="str">
        <f t="shared" si="0"/>
        <v>Yes</v>
      </c>
      <c r="J14" s="150">
        <v>3.4</v>
      </c>
    </row>
    <row r="15" spans="1:10" x14ac:dyDescent="0.3">
      <c r="A15" s="148">
        <v>4.0999999999999996</v>
      </c>
      <c r="B15" t="s">
        <v>126</v>
      </c>
      <c r="C15" s="2">
        <v>3</v>
      </c>
      <c r="D15" s="143">
        <v>64</v>
      </c>
      <c r="E15" s="143">
        <v>66</v>
      </c>
      <c r="F15" s="143">
        <v>66</v>
      </c>
      <c r="G15" s="143">
        <v>68</v>
      </c>
      <c r="H15" s="143">
        <v>2</v>
      </c>
      <c r="I15" t="str">
        <f t="shared" si="0"/>
        <v>No</v>
      </c>
      <c r="J15" s="150">
        <v>3.3</v>
      </c>
    </row>
    <row r="16" spans="1:10" x14ac:dyDescent="0.3">
      <c r="A16" s="148">
        <v>4.2</v>
      </c>
      <c r="B16" t="s">
        <v>127</v>
      </c>
      <c r="C16" s="2">
        <v>5</v>
      </c>
      <c r="D16" s="143">
        <v>67</v>
      </c>
      <c r="E16" s="143">
        <v>72</v>
      </c>
      <c r="F16" s="143">
        <v>69</v>
      </c>
      <c r="G16" s="143">
        <v>74</v>
      </c>
      <c r="H16" s="143">
        <v>2</v>
      </c>
      <c r="I16" t="str">
        <f t="shared" si="0"/>
        <v>No</v>
      </c>
      <c r="J16" s="150">
        <v>4.0999999999999996</v>
      </c>
    </row>
    <row r="17" spans="1:10" x14ac:dyDescent="0.3">
      <c r="A17" s="148">
        <v>4.3</v>
      </c>
      <c r="B17" t="s">
        <v>149</v>
      </c>
      <c r="C17" s="2">
        <v>1</v>
      </c>
      <c r="D17" s="143">
        <v>75</v>
      </c>
      <c r="E17" s="143">
        <v>75</v>
      </c>
      <c r="F17" s="143">
        <v>75</v>
      </c>
      <c r="G17" s="143">
        <v>75</v>
      </c>
      <c r="H17" s="143">
        <v>0</v>
      </c>
      <c r="I17" t="str">
        <f t="shared" si="0"/>
        <v>Yes</v>
      </c>
      <c r="J17" s="150" t="s">
        <v>157</v>
      </c>
    </row>
    <row r="18" spans="1:10" x14ac:dyDescent="0.3">
      <c r="A18" s="148">
        <v>5.0999999999999996</v>
      </c>
      <c r="B18" t="s">
        <v>128</v>
      </c>
      <c r="C18" s="2">
        <v>12</v>
      </c>
      <c r="D18" s="143">
        <v>120</v>
      </c>
      <c r="E18" s="143">
        <v>131</v>
      </c>
      <c r="F18" s="143">
        <v>122</v>
      </c>
      <c r="G18" s="143">
        <v>133</v>
      </c>
      <c r="H18" s="143">
        <v>2</v>
      </c>
      <c r="I18" t="str">
        <f t="shared" si="0"/>
        <v>No</v>
      </c>
      <c r="J18" s="150">
        <v>4.3</v>
      </c>
    </row>
    <row r="19" spans="1:10" x14ac:dyDescent="0.3">
      <c r="A19" s="148">
        <v>5.2</v>
      </c>
      <c r="B19" t="s">
        <v>129</v>
      </c>
      <c r="C19" s="2">
        <v>19</v>
      </c>
      <c r="D19" s="143">
        <v>134</v>
      </c>
      <c r="E19" s="143">
        <v>152</v>
      </c>
      <c r="F19" s="143">
        <v>134</v>
      </c>
      <c r="G19" s="143">
        <v>152</v>
      </c>
      <c r="H19" s="143">
        <v>0</v>
      </c>
      <c r="I19" t="str">
        <f t="shared" si="0"/>
        <v>Yes</v>
      </c>
      <c r="J19" s="150">
        <v>5.0999999999999996</v>
      </c>
    </row>
    <row r="20" spans="1:10" x14ac:dyDescent="0.3">
      <c r="A20" s="148">
        <v>5.3</v>
      </c>
      <c r="B20" t="s">
        <v>130</v>
      </c>
      <c r="C20" s="2">
        <v>19</v>
      </c>
      <c r="D20" s="143">
        <v>141</v>
      </c>
      <c r="E20" s="143">
        <v>159</v>
      </c>
      <c r="F20" s="143">
        <v>141</v>
      </c>
      <c r="G20" s="143">
        <v>159</v>
      </c>
      <c r="H20" s="143">
        <v>0</v>
      </c>
      <c r="I20" t="str">
        <f t="shared" si="0"/>
        <v>Yes</v>
      </c>
      <c r="J20" s="150">
        <v>5.0999999999999996</v>
      </c>
    </row>
    <row r="21" spans="1:10" x14ac:dyDescent="0.3">
      <c r="A21" s="148">
        <v>5.4</v>
      </c>
      <c r="B21" t="s">
        <v>131</v>
      </c>
      <c r="C21" s="2">
        <v>19</v>
      </c>
      <c r="D21" s="143">
        <v>148</v>
      </c>
      <c r="E21" s="143">
        <v>166</v>
      </c>
      <c r="F21" s="143">
        <v>148</v>
      </c>
      <c r="G21" s="143">
        <v>166</v>
      </c>
      <c r="H21" s="143">
        <v>0</v>
      </c>
      <c r="I21" t="str">
        <f t="shared" si="0"/>
        <v>Yes</v>
      </c>
      <c r="J21" s="150">
        <v>5.3</v>
      </c>
    </row>
    <row r="22" spans="1:10" x14ac:dyDescent="0.3">
      <c r="A22" s="148">
        <v>5.5</v>
      </c>
      <c r="B22" t="s">
        <v>132</v>
      </c>
      <c r="C22" s="2">
        <v>5</v>
      </c>
      <c r="D22" s="143">
        <v>162</v>
      </c>
      <c r="E22" s="143">
        <v>166</v>
      </c>
      <c r="F22" s="143">
        <v>162</v>
      </c>
      <c r="G22" s="143">
        <v>166</v>
      </c>
      <c r="H22" s="143">
        <v>0</v>
      </c>
      <c r="I22" t="str">
        <f t="shared" si="0"/>
        <v>Yes</v>
      </c>
      <c r="J22" s="150" t="s">
        <v>158</v>
      </c>
    </row>
    <row r="23" spans="1:10" x14ac:dyDescent="0.3">
      <c r="A23" s="148">
        <v>6.1</v>
      </c>
      <c r="B23" t="s">
        <v>133</v>
      </c>
      <c r="C23" s="2">
        <v>3</v>
      </c>
      <c r="D23" s="143">
        <v>169</v>
      </c>
      <c r="E23" s="143">
        <v>171</v>
      </c>
      <c r="F23" s="143">
        <v>169</v>
      </c>
      <c r="G23" s="143">
        <v>171</v>
      </c>
      <c r="H23" s="143">
        <v>0</v>
      </c>
      <c r="I23" t="str">
        <f t="shared" si="0"/>
        <v>Yes</v>
      </c>
      <c r="J23" s="150">
        <v>5.5</v>
      </c>
    </row>
    <row r="24" spans="1:10" x14ac:dyDescent="0.3">
      <c r="A24" s="148">
        <v>6.2</v>
      </c>
      <c r="B24" t="s">
        <v>134</v>
      </c>
      <c r="C24" s="2">
        <v>2</v>
      </c>
      <c r="D24" s="143">
        <v>172</v>
      </c>
      <c r="E24" s="143">
        <v>173</v>
      </c>
      <c r="F24" s="143">
        <v>172</v>
      </c>
      <c r="G24" s="143">
        <v>173</v>
      </c>
      <c r="H24" s="143">
        <v>0</v>
      </c>
      <c r="I24" t="str">
        <f t="shared" si="0"/>
        <v>Yes</v>
      </c>
      <c r="J24" s="150">
        <v>6.1</v>
      </c>
    </row>
    <row r="25" spans="1:10" x14ac:dyDescent="0.3">
      <c r="A25" s="148">
        <v>6.3</v>
      </c>
      <c r="B25" t="s">
        <v>135</v>
      </c>
      <c r="C25" s="2">
        <v>3</v>
      </c>
      <c r="D25" s="143">
        <v>169</v>
      </c>
      <c r="E25" s="143">
        <v>171</v>
      </c>
      <c r="F25" s="143">
        <v>171</v>
      </c>
      <c r="G25" s="143">
        <v>173</v>
      </c>
      <c r="H25" s="143">
        <v>2</v>
      </c>
      <c r="I25" t="str">
        <f t="shared" si="0"/>
        <v>No</v>
      </c>
      <c r="J25" s="150">
        <v>5.5</v>
      </c>
    </row>
    <row r="26" spans="1:10" x14ac:dyDescent="0.3">
      <c r="A26" s="148">
        <v>6.4</v>
      </c>
      <c r="B26" t="s">
        <v>136</v>
      </c>
      <c r="C26" s="2">
        <v>2</v>
      </c>
      <c r="D26" s="143">
        <v>172</v>
      </c>
      <c r="E26" s="143">
        <v>173</v>
      </c>
      <c r="F26" s="143">
        <v>172</v>
      </c>
      <c r="G26" s="143">
        <v>173</v>
      </c>
      <c r="H26" s="143">
        <v>0</v>
      </c>
      <c r="I26" t="str">
        <f t="shared" si="0"/>
        <v>Yes</v>
      </c>
      <c r="J26" s="150" t="s">
        <v>159</v>
      </c>
    </row>
    <row r="27" spans="1:10" x14ac:dyDescent="0.3">
      <c r="A27" s="148">
        <v>7.1</v>
      </c>
      <c r="B27" t="s">
        <v>146</v>
      </c>
      <c r="C27" s="2">
        <v>1</v>
      </c>
      <c r="D27" s="143">
        <v>177</v>
      </c>
      <c r="E27" s="143">
        <v>177</v>
      </c>
      <c r="F27" s="143">
        <v>177</v>
      </c>
      <c r="G27" s="143">
        <v>177</v>
      </c>
      <c r="H27" s="143">
        <v>0</v>
      </c>
      <c r="I27" t="str">
        <f t="shared" si="0"/>
        <v>Yes</v>
      </c>
      <c r="J27" s="150">
        <v>7.7</v>
      </c>
    </row>
    <row r="28" spans="1:10" x14ac:dyDescent="0.3">
      <c r="A28" s="148">
        <v>7.2</v>
      </c>
      <c r="B28" t="s">
        <v>145</v>
      </c>
      <c r="C28" s="2" t="s">
        <v>101</v>
      </c>
      <c r="D28" s="143">
        <v>29</v>
      </c>
      <c r="E28" s="143">
        <v>40</v>
      </c>
      <c r="F28" s="143">
        <v>89</v>
      </c>
      <c r="G28" s="143">
        <v>100</v>
      </c>
      <c r="H28" s="143">
        <v>60</v>
      </c>
      <c r="I28" t="str">
        <f t="shared" si="0"/>
        <v>No</v>
      </c>
      <c r="J28" s="150">
        <v>1.4</v>
      </c>
    </row>
    <row r="29" spans="1:10" x14ac:dyDescent="0.3">
      <c r="A29" s="148">
        <v>7.3</v>
      </c>
      <c r="B29" t="s">
        <v>144</v>
      </c>
      <c r="C29" s="2" t="s">
        <v>101</v>
      </c>
      <c r="D29" s="143">
        <v>29</v>
      </c>
      <c r="E29" s="143">
        <v>47</v>
      </c>
      <c r="F29" s="143">
        <v>89</v>
      </c>
      <c r="G29" s="143">
        <v>107</v>
      </c>
      <c r="H29" s="143">
        <v>60</v>
      </c>
      <c r="I29" t="str">
        <f t="shared" si="0"/>
        <v>No</v>
      </c>
      <c r="J29" s="150" t="s">
        <v>164</v>
      </c>
    </row>
    <row r="30" spans="1:10" x14ac:dyDescent="0.3">
      <c r="A30" s="148">
        <v>7.4</v>
      </c>
      <c r="B30" t="s">
        <v>143</v>
      </c>
      <c r="C30" s="2" t="s">
        <v>101</v>
      </c>
      <c r="D30" s="143">
        <v>50</v>
      </c>
      <c r="E30" s="143">
        <v>166</v>
      </c>
      <c r="F30" s="143">
        <v>60</v>
      </c>
      <c r="G30" s="143">
        <v>176</v>
      </c>
      <c r="H30" s="143">
        <v>10</v>
      </c>
      <c r="I30" t="str">
        <f t="shared" si="0"/>
        <v>No</v>
      </c>
      <c r="J30" s="150" t="s">
        <v>160</v>
      </c>
    </row>
    <row r="31" spans="1:10" x14ac:dyDescent="0.3">
      <c r="A31" s="148">
        <v>7.5</v>
      </c>
      <c r="B31" t="s">
        <v>142</v>
      </c>
      <c r="C31" s="2">
        <v>7</v>
      </c>
      <c r="D31" s="143">
        <v>169</v>
      </c>
      <c r="E31" s="143">
        <v>175</v>
      </c>
      <c r="F31" s="143">
        <v>169</v>
      </c>
      <c r="G31" s="143">
        <v>175</v>
      </c>
      <c r="H31" s="143">
        <v>0</v>
      </c>
      <c r="I31" t="str">
        <f t="shared" si="0"/>
        <v>Yes</v>
      </c>
      <c r="J31" s="150" t="s">
        <v>162</v>
      </c>
    </row>
    <row r="32" spans="1:10" x14ac:dyDescent="0.3">
      <c r="A32" s="148">
        <v>7.6</v>
      </c>
      <c r="B32" t="s">
        <v>141</v>
      </c>
      <c r="C32" s="2">
        <v>3</v>
      </c>
      <c r="D32" s="143">
        <v>174</v>
      </c>
      <c r="E32" s="143">
        <v>176</v>
      </c>
      <c r="F32" s="143">
        <v>174</v>
      </c>
      <c r="G32" s="143">
        <v>176</v>
      </c>
      <c r="H32" s="143">
        <v>0</v>
      </c>
      <c r="I32" t="str">
        <f t="shared" si="0"/>
        <v>Yes</v>
      </c>
      <c r="J32" s="150">
        <v>7.5</v>
      </c>
    </row>
    <row r="33" spans="1:10" x14ac:dyDescent="0.3">
      <c r="A33" s="148">
        <v>7.7</v>
      </c>
      <c r="B33" t="s">
        <v>140</v>
      </c>
      <c r="C33" s="2">
        <v>1</v>
      </c>
      <c r="D33" s="143">
        <v>177</v>
      </c>
      <c r="E33" s="143">
        <v>177</v>
      </c>
      <c r="F33" s="143">
        <v>177</v>
      </c>
      <c r="G33" s="143">
        <v>177</v>
      </c>
      <c r="H33" s="143">
        <v>0</v>
      </c>
      <c r="I33" t="str">
        <f t="shared" si="0"/>
        <v>Yes</v>
      </c>
      <c r="J33" s="150">
        <v>7.6</v>
      </c>
    </row>
    <row r="34" spans="1:10" x14ac:dyDescent="0.3">
      <c r="A34" s="148">
        <v>7.8</v>
      </c>
      <c r="B34" t="s">
        <v>139</v>
      </c>
      <c r="C34" s="2" t="s">
        <v>101</v>
      </c>
      <c r="D34" s="143">
        <v>1</v>
      </c>
      <c r="E34" s="143">
        <v>178</v>
      </c>
      <c r="F34" s="143">
        <v>1</v>
      </c>
      <c r="G34" s="143">
        <v>178</v>
      </c>
      <c r="H34" s="143">
        <v>0</v>
      </c>
      <c r="I34" t="str">
        <f t="shared" si="0"/>
        <v>Yes</v>
      </c>
      <c r="J34" s="150" t="s">
        <v>154</v>
      </c>
    </row>
    <row r="35" spans="1:10" x14ac:dyDescent="0.3">
      <c r="A35" s="148">
        <v>7.9</v>
      </c>
      <c r="B35" t="s">
        <v>138</v>
      </c>
      <c r="C35" s="2">
        <v>3</v>
      </c>
      <c r="D35" s="143">
        <v>176</v>
      </c>
      <c r="E35" s="143">
        <v>178</v>
      </c>
      <c r="F35" s="143">
        <v>176</v>
      </c>
      <c r="G35" s="143">
        <v>178</v>
      </c>
      <c r="H35" s="143">
        <v>0</v>
      </c>
      <c r="I35" t="str">
        <f t="shared" si="0"/>
        <v>Yes</v>
      </c>
      <c r="J35" s="150">
        <v>7.6</v>
      </c>
    </row>
    <row r="36" spans="1:10" x14ac:dyDescent="0.3">
      <c r="A36" s="148" t="s">
        <v>161</v>
      </c>
      <c r="B36" t="s">
        <v>137</v>
      </c>
      <c r="C36" s="2">
        <v>2</v>
      </c>
      <c r="D36" s="143">
        <v>178</v>
      </c>
      <c r="E36" s="143">
        <v>179</v>
      </c>
      <c r="F36" s="143">
        <v>178</v>
      </c>
      <c r="G36" s="143">
        <v>179</v>
      </c>
      <c r="H36" s="143">
        <v>0</v>
      </c>
      <c r="I36" t="str">
        <f t="shared" si="0"/>
        <v>Yes</v>
      </c>
      <c r="J36" s="150" t="s">
        <v>163</v>
      </c>
    </row>
    <row r="37" spans="1:10" x14ac:dyDescent="0.3">
      <c r="A37" s="148">
        <v>7.11</v>
      </c>
      <c r="B37" t="s">
        <v>147</v>
      </c>
      <c r="C37" s="2">
        <v>1</v>
      </c>
      <c r="D37" s="143">
        <v>180</v>
      </c>
      <c r="E37" s="143">
        <v>180</v>
      </c>
      <c r="F37" s="143">
        <v>180</v>
      </c>
      <c r="G37" s="143">
        <v>180</v>
      </c>
      <c r="H37" s="143">
        <v>0</v>
      </c>
      <c r="I37" t="str">
        <f t="shared" si="0"/>
        <v>Yes</v>
      </c>
      <c r="J37" s="150" t="s">
        <v>161</v>
      </c>
    </row>
    <row r="38" spans="1:10" x14ac:dyDescent="0.3">
      <c r="A38" s="148">
        <v>8.1</v>
      </c>
      <c r="B38" t="s">
        <v>150</v>
      </c>
      <c r="C38" s="2">
        <v>12</v>
      </c>
      <c r="D38" s="143">
        <v>197</v>
      </c>
      <c r="E38" s="143">
        <v>208</v>
      </c>
      <c r="F38" s="143">
        <v>199</v>
      </c>
      <c r="G38" s="143">
        <v>210</v>
      </c>
      <c r="H38" s="143">
        <v>2</v>
      </c>
      <c r="I38" t="str">
        <f t="shared" si="0"/>
        <v>No</v>
      </c>
      <c r="J38" s="150">
        <v>7.11</v>
      </c>
    </row>
    <row r="39" spans="1:10" x14ac:dyDescent="0.3">
      <c r="A39" s="148">
        <v>8.1999999999999993</v>
      </c>
      <c r="B39" t="s">
        <v>151</v>
      </c>
      <c r="C39" s="2">
        <v>12</v>
      </c>
      <c r="D39" s="143">
        <v>211</v>
      </c>
      <c r="E39" s="143">
        <v>222</v>
      </c>
      <c r="F39" s="143">
        <v>211</v>
      </c>
      <c r="G39" s="143">
        <v>222</v>
      </c>
      <c r="H39" s="143">
        <v>0</v>
      </c>
      <c r="I39" t="str">
        <f t="shared" si="0"/>
        <v>Yes</v>
      </c>
      <c r="J39" s="150">
        <v>8.1</v>
      </c>
    </row>
  </sheetData>
  <conditionalFormatting sqref="A2:J39">
    <cfRule type="expression" dxfId="0" priority="1">
      <formula>$I2="Yes"</formula>
    </cfRule>
  </conditionalFormatting>
  <pageMargins left="0.7" right="0.7" top="0.75" bottom="0.75" header="0.3" footer="0.3"/>
  <pageSetup paperSize="9" scale="63"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ProjectSchedule</vt:lpstr>
      <vt:lpstr>Critical Path Calculation Table</vt:lpstr>
      <vt:lpstr>Display_Week</vt:lpstr>
      <vt:lpstr>ProjectSchedule!Print_Titles</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2026-04-02T02:16:52Z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